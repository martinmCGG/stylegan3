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theme/theme1.xml" ContentType="application/vnd.openxmlformats-officedocument.theme+xml"/>
  <Override PartName="/xl/drawings/drawing2.xml" ContentType="application/vnd.openxmlformats-officedocument.drawing+xml"/>
  <Override PartName="/xl/threadedComments/threadedComment3.xml" ContentType="application/vnd.ms-excel.threadedcomments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threadedComments/threadedComment2.xml" ContentType="application/vnd.ms-excel.threadedcomments+xml"/>
  <Override PartName="/xl/persons/person.xml" ContentType="application/vnd.ms-excel.person+xml"/>
  <Override PartName="/xl/workbook.xml" ContentType="application/vnd.openxmlformats-officedocument.spreadsheetml.sheet.main+xml"/>
  <Override PartName="/xl/charts/colors6.xml" ContentType="application/vnd.ms-office.chartcolorstyle+xml"/>
  <Override PartName="/xl/charts/style6.xml" ContentType="application/vnd.ms-office.chartstyle+xml"/>
  <Override PartName="/xl/charts/chart6.xml" ContentType="application/vnd.openxmlformats-officedocument.drawingml.chart+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charts/style5.xml" ContentType="application/vnd.ms-office.chartstyle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harts/style3.xml" ContentType="application/vnd.ms-office.chartstyle+xml"/>
  <Override PartName="/xl/charts/chart3.xml" ContentType="application/vnd.openxmlformats-officedocument.drawingml.chart+xml"/>
  <Override PartName="/xl/charts/chart5.xml" ContentType="application/vnd.openxmlformats-officedocument.drawingml.chart+xml"/>
  <Override PartName="/xl/charts/colors2.xml" ContentType="application/vnd.ms-office.chartcolorstyle+xml"/>
  <Override PartName="/xl/charts/style2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chart2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harts/colors5.xml" ContentType="application/vnd.ms-office.chartcolorsty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current" sheetId="1" state="visible" r:id="rId2"/>
    <sheet name="profile sg3-t PVC" sheetId="2" state="visible" r:id="rId3"/>
    <sheet name="stddev of metrics" sheetId="3" state="visible" r:id="rId4"/>
    <sheet name="backup" sheetId="4" state="visible" r:id="rId5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tc={5D1DD697-3B31-24C3-D1FC-4F10BC94625B}</author>
    <author>tc={D300BCD4-AF64-1F2B-8C24-5B84F5440E4F}</author>
    <author>tc={A01B7651-90D1-9D61-E5CA-ED6EEA98DA46}</author>
    <author>tc={9C780A3F-2882-4906-A15E-6397004551BF}</author>
    <author>tc={1CB70762-CB98-18A3-8B23-8B0C43552DB3}</author>
    <author>tc={7ED0FFCC-B7DA-8554-413C-5373D5E862EB}</author>
    <author>tc={D60FF92D-CD85-77A7-BAF7-B50E5A8F386D}</author>
    <author>tc={44FE1040-EA6E-1D7C-5CD3-EEAB189226D0}</author>
    <author>tc={0A840647-343D-ECD8-EE73-9B5128B511C0}</author>
    <author>tc={9885B1C3-AB22-94B7-30B7-E8A667F23725}</author>
    <author>tc={152CC54A-CC3F-A8E8-3020-50D37FDCC26A}</author>
    <author>tc={02D5EC6F-3679-B832-F9F8-3AF034DC73B7}</author>
    <author>tc={07C5CB9B-011A-F201-BE01-B6ED5DCC747A}</author>
    <author>tc={3D18DD77-473E-3CE6-83E6-86E80A773716}</author>
  </authors>
  <commentList>
    <comment ref="A2" authorId="0" xr:uid="{5D1DD697-3B31-24C3-D1FC-4F10BC94625B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exact pytorch version: 2.1.0.post3+cxx11.abi
</t>
        </r>
      </text>
    </comment>
    <comment ref="A11" authorId="1" xr:uid="{D300BCD4-AF64-1F2B-8C24-5B84F5440E4F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heads/debug_profiling-0-gd9c04ad
stylegan3_pytorch_2_3
</t>
        </r>
      </text>
    </comment>
    <comment ref="A14" authorId="2" xr:uid="{A01B7651-90D1-9D61-E5CA-ED6EEA98DA46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heads/debug_profiling-2.1-0-g37d3e93
ipex_2_1_40
VM instance
</t>
        </r>
      </text>
    </comment>
    <comment ref="A15" authorId="3" xr:uid="{9C780A3F-2882-4906-A15E-6397004551BF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heads/debug_profiling-0-gd9c04ad
ipex_2_3_110
VM instance
</t>
        </r>
      </text>
    </comment>
    <comment ref="A17" authorId="4" xr:uid="{1CB70762-CB98-18A3-8B23-8B0C43552DB3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heads/debug_profiling-0-gb9cee85 with "stylegan" environment
re-measure with current commit
</t>
        </r>
      </text>
    </comment>
    <comment ref="A19" authorId="5" xr:uid="{7ED0FFCC-B7DA-8554-413C-5373D5E862EB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heads/debug_profiling-0-gd9c04ad
stylegan3_pytorch_2_3
</t>
        </r>
      </text>
    </comment>
    <comment ref="A3" authorId="6" xr:uid="{D60FF92D-CD85-77A7-BAF7-B50E5A8F386D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heads/debug_profiling-0-gdab3304 with "ENVNAME=stylegan3_2_1_40_xpu"
re-measured current commit, with current GPU driver
</t>
        </r>
      </text>
    </comment>
    <comment ref="E24" authorId="7" xr:uid="{44FE1040-EA6E-1D7C-5CD3-EEAB189226D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TODO try upgrading and re-measuring
</t>
        </r>
      </text>
    </comment>
    <comment ref="A4" authorId="8" xr:uid="{0A840647-343D-ECD8-EE73-9B5128B511C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heads/debug_profiling-0-gdab3304 with "ENVNAME=stylegan3_2_3_110_xpu"
torch 2.3.1+cxx11.abi
</t>
        </r>
      </text>
    </comment>
    <comment ref="A5" authorId="9" xr:uid="{9885B1C3-AB22-94B7-30B7-E8A667F23725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on a VM instance on Intel Tiber Developer Cloud
</t>
        </r>
      </text>
    </comment>
    <comment ref="A6" authorId="10" xr:uid="{152CC54A-CC3F-A8E8-3020-50D37FDCC26A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heads/debug_profiling-2.1-0-g37d3e93
ipex_2_1_40
VM instance
</t>
        </r>
      </text>
    </comment>
    <comment ref="A7" authorId="11" xr:uid="{02D5EC6F-3679-B832-F9F8-3AF034DC73B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heads/debug_profiling-0-gd9c04ad
ipex_2_3_110
VM instance
</t>
        </r>
      </text>
    </comment>
    <comment ref="A8" authorId="12" xr:uid="{07C5CB9B-011A-F201-BE01-B6ED5DCC747A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  <comment ref="A9" authorId="13" xr:uid="{3D18DD77-473E-3CE6-83E6-86E80A773716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heads/debug_profiling-0-gb9cee85 with "stylegan" environment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tc={80F3E044-5FFD-2CA2-6416-75190749A912}</author>
  </authors>
  <commentList>
    <comment ref="A1" authorId="0" xr:uid="{80F3E044-5FFD-2CA2-6416-75190749A912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sg3-t gpu-hotspots 2.3.110 PVC
Apr 02 2025 21:10:41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tc={FBA8A04F-1144-D4CE-3955-9139357F1DF7}</author>
    <author>tc={49BA0359-1DD6-6E69-0623-10EC65534207}</author>
    <author>tc={71B80EF3-EE31-C54E-AB34-BCEA6BB0C751}</author>
  </authors>
  <commentList>
    <comment ref="A2" authorId="0" xr:uid="{FBA8A04F-1144-D4CE-3955-9139357F1DF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</t>
        </r>
      </text>
    </comment>
    <comment ref="A3" authorId="1" xr:uid="{49BA0359-1DD6-6E69-0623-10EC6553420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</t>
        </r>
      </text>
    </comment>
    <comment ref="A4" authorId="2" xr:uid="{71B80EF3-EE31-C54E-AB34-BCEA6BB0C751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</commentList>
</comments>
</file>

<file path=xl/sharedStrings.xml><?xml version="1.0" encoding="utf-8"?>
<sst xmlns="http://schemas.openxmlformats.org/spreadsheetml/2006/main" count="207" uniqueCount="207">
  <si>
    <t>stylegan3-r</t>
  </si>
  <si>
    <t>stylegan3-t</t>
  </si>
  <si>
    <t>stylegan2</t>
  </si>
  <si>
    <t xml:space="preserve">&lt; source</t>
  </si>
  <si>
    <t xml:space="preserve">A770 (SYCL, PyTorch 2.1.x)</t>
  </si>
  <si>
    <t xml:space="preserve">bench log 2024-12-03.html</t>
  </si>
  <si>
    <t xml:space="preserve">runs.log, 2025-03-27T15:25</t>
  </si>
  <si>
    <t xml:space="preserve">A770 (SYCL, PyTorch 2.3.x)</t>
  </si>
  <si>
    <t xml:space="preserve">runs.log, 2025-03-28T17:10-11</t>
  </si>
  <si>
    <t xml:space="preserve">PVC Max 1100 (SYCL, PyTorch 2.1.x)</t>
  </si>
  <si>
    <t xml:space="preserve">Intel PVC VM stylegan3 more speed measurements (before+after the 5x speedup commit and -01 vs -O3) 2024-11-21.txt</t>
  </si>
  <si>
    <t xml:space="preserve">Intel PVC IPEX 2.1.40 ref+xpu runs.txt, 2025-03-30T21:44-45</t>
  </si>
  <si>
    <t xml:space="preserve">PVC Max 1100 (SYCL, PyTorch 2.3.x)</t>
  </si>
  <si>
    <t xml:space="preserve">Intel PVC IPEX 2.3.110 ref+xpu runs.txt 2025-03-30T22:55-56</t>
  </si>
  <si>
    <t xml:space="preserve">1080Ti (CUDA, PyTorch 1.9.1)</t>
  </si>
  <si>
    <t xml:space="preserve">runs.log, 2025-03-28T17:35-36</t>
  </si>
  <si>
    <t xml:space="preserve">1080Ti (CUDA, PyTorch 2.1.2)</t>
  </si>
  <si>
    <t xml:space="preserve">bench log 2024-12-04.html</t>
  </si>
  <si>
    <t xml:space="preserve">1080Ti (CUDA, PyTorch 2.3.1)</t>
  </si>
  <si>
    <t xml:space="preserve"># pytorch 2.3 on 1080Ti.log, 2025-04-01T12:42</t>
  </si>
  <si>
    <t xml:space="preserve">A770 ("ref", PyTorch 2.1.x)</t>
  </si>
  <si>
    <t xml:space="preserve">A770 ("ref", PyTorch 2.3.x)</t>
  </si>
  <si>
    <t xml:space="preserve">runs.log, 2025-03-27T17:45-48</t>
  </si>
  <si>
    <t xml:space="preserve">PVC Max 1100 ("ref", PyTorch 2.1.x)</t>
  </si>
  <si>
    <t xml:space="preserve">Intel PVC IPEX 2.1.40 ref+xpu runs.txt, 2025-03-30T21:53-55</t>
  </si>
  <si>
    <t xml:space="preserve">PVC Max 1100 ("ref", PyTorch 2.3.x)</t>
  </si>
  <si>
    <t xml:space="preserve">Intel PVC IPEX 2.3.110 ref+xpu runs.txt 2025-03-30T22:58-59</t>
  </si>
  <si>
    <t xml:space="preserve">1080Ti ("ref", PyTorch 1.9.1)</t>
  </si>
  <si>
    <t xml:space="preserve">runs.log, 2025-03-27T17:38-44</t>
  </si>
  <si>
    <t xml:space="preserve">1080Ti ("ref", PyTorch 2.1.2)</t>
  </si>
  <si>
    <t xml:space="preserve">1080Ti ("ref", PyTorch 2.3.1)</t>
  </si>
  <si>
    <t xml:space="preserve"># pytorch 2.3 on 1080Ti.log, 2025-04-01T12:45-51</t>
  </si>
  <si>
    <t xml:space="preserve">Notes: measured with "./bench3.sh" (gen_video.py with [network_variant]-afhqv2-512x512.pkl), always using the median value as the result</t>
  </si>
  <si>
    <t>A770</t>
  </si>
  <si>
    <t xml:space="preserve">PVC Max 1100</t>
  </si>
  <si>
    <t>1080Ti</t>
  </si>
  <si>
    <t>versions</t>
  </si>
  <si>
    <t>pytorch</t>
  </si>
  <si>
    <t xml:space="preserve">2.1.40+xpu, then 2.3.110+xpu</t>
  </si>
  <si>
    <t>2.1.40+xpu</t>
  </si>
  <si>
    <t xml:space="preserve">1.9.1 (py3.9_cuda11.1_cudnn8.0.5_0), and later re-measured with 2.1.2 (py3.9_cuda12.1_cudnn8.9.2_0)</t>
  </si>
  <si>
    <t>driver</t>
  </si>
  <si>
    <t xml:space="preserve">intel-i915-dkms 1.24.3.23.240419.26+i30-1, then intel-i915-dkms 1.24.6.12.240823.13+i14-1</t>
  </si>
  <si>
    <t>?</t>
  </si>
  <si>
    <t xml:space="preserve">Driver Version: 535.183.01</t>
  </si>
  <si>
    <t xml:space="preserve">level zero</t>
  </si>
  <si>
    <t xml:space="preserve">intel-level-zero-gpu 1.3.29735.27-914~22.04, then libze-intel-gpu1 24.39.31294.20-1032~22.04</t>
  </si>
  <si>
    <t xml:space="preserve">CUDA Version: 12.2</t>
  </si>
  <si>
    <t xml:space="preserve">comparing matching PyTorh versions (major.minor):</t>
  </si>
  <si>
    <t xml:space="preserve">1080Ti (speedup "ref" -&gt; CUDA, PyTorch 1.9.1)</t>
  </si>
  <si>
    <t xml:space="preserve">&lt;- just a re-run</t>
  </si>
  <si>
    <t xml:space="preserve">1080Ti (speedup "ref" -&gt; CUDA, PyTorch 2.1.2)</t>
  </si>
  <si>
    <t xml:space="preserve">1080Ti (speedup "ref" -&gt; CUDA, PyTorch 2.3.1)</t>
  </si>
  <si>
    <t xml:space="preserve">A770 (speedup "ref" -&gt; XPU, PyTorch 2.1.x)</t>
  </si>
  <si>
    <t xml:space="preserve">A770 (speedup "ref" -&gt; XPU, PyTorch 2.3.x)</t>
  </si>
  <si>
    <t xml:space="preserve">&lt;- PT/IPEX 2.3 is a little slower than 2.1 on A770</t>
  </si>
  <si>
    <t xml:space="preserve">PVC Max 1100 (speedup "ref" -&gt; XPU, PyTorch 2.1.x)</t>
  </si>
  <si>
    <t xml:space="preserve">PVC Max 1100 (speedup "ref" -&gt; XPU, PyTorch 2.3.x)</t>
  </si>
  <si>
    <t xml:space="preserve">&lt;- PT/IPEX 2.3 is ~the same as 2.1 on PVC</t>
  </si>
  <si>
    <t xml:space="preserve">"ref" speedup A770 vs 1080Ti (PyTorch 2.1.x vs 1.9.1)</t>
  </si>
  <si>
    <t xml:space="preserve">"ref" speedup A770 vs 1080Ti (PyTorch 2.1.x vs 2.1.2)</t>
  </si>
  <si>
    <t>Observations/notes:</t>
  </si>
  <si>
    <t xml:space="preserve">- stylegan3-t is the relevant architecture (used by SkyGAN)</t>
  </si>
  <si>
    <t xml:space="preserve">- A770+PyTorch2.1, Max1100+PyTorch2.1 and 1080Ti+PyTorch1.9 are measured twice (different commits, slight slowdown, perhaps something is less efficient there as IPEX 2.3 is the first(?) version with native PyTorch support) -&gt; TODO try even newer PyTorch?</t>
  </si>
  <si>
    <t xml:space="preserve">- PyTorch/IPEX 2.3.x seems a bit slower than 2.1.x; (changing -O2 back to -O1 does not make a meaningful difference)</t>
  </si>
  <si>
    <t xml:space="preserve">- (when using custom kernels) overall Max1100 is the fastest, 1080Ti second, then A770 closely follows</t>
  </si>
  <si>
    <t xml:space="preserve">- when NOT using the custom kernels, Intel GPUs are significantly faster -&gt; mayby that's partially why we do not get such high speedups</t>
  </si>
  <si>
    <t xml:space="preserve">Source Computing Task</t>
  </si>
  <si>
    <t xml:space="preserve">Total Time</t>
  </si>
  <si>
    <t xml:space="preserve">Average Time</t>
  </si>
  <si>
    <t xml:space="preserve">Instance Count</t>
  </si>
  <si>
    <t>Size</t>
  </si>
  <si>
    <t xml:space="preserve">Total, GB/sec</t>
  </si>
  <si>
    <t>Active</t>
  </si>
  <si>
    <t>Stalled</t>
  </si>
  <si>
    <t>Idle</t>
  </si>
  <si>
    <t xml:space="preserve">XVE Threads Occupancy</t>
  </si>
  <si>
    <t xml:space="preserve">Computing Threads Started</t>
  </si>
  <si>
    <t xml:space="preserve">ALU0 and ALU1 active</t>
  </si>
  <si>
    <t xml:space="preserve">ALU0 and ALU2 active</t>
  </si>
  <si>
    <t xml:space="preserve">Send active</t>
  </si>
  <si>
    <t xml:space="preserve">Branch active</t>
  </si>
  <si>
    <t xml:space="preserve">ALU0 active</t>
  </si>
  <si>
    <t xml:space="preserve">ALU1 active</t>
  </si>
  <si>
    <t xml:space="preserve">ALU2 active</t>
  </si>
  <si>
    <t xml:space="preserve">Send Instructions</t>
  </si>
  <si>
    <t xml:space="preserve">Control Instructions</t>
  </si>
  <si>
    <t xml:space="preserve">ALU0 Instructions</t>
  </si>
  <si>
    <t xml:space="preserve">ALU1 Instructions</t>
  </si>
  <si>
    <t xml:space="preserve">ALU2 instructions</t>
  </si>
  <si>
    <t>Read</t>
  </si>
  <si>
    <t>Write</t>
  </si>
  <si>
    <t xml:space="preserve">GPU Barriers</t>
  </si>
  <si>
    <t xml:space="preserve">GPU Atomics</t>
  </si>
  <si>
    <t xml:space="preserve">Total Time [s]</t>
  </si>
  <si>
    <t xml:space="preserve">is bias_act</t>
  </si>
  <si>
    <t xml:space="preserve">is filtered_lrelu</t>
  </si>
  <si>
    <t xml:space="preserve">is other</t>
  </si>
  <si>
    <t xml:space="preserve">bias_act time</t>
  </si>
  <si>
    <t xml:space="preserve">filtered_lrelu time</t>
  </si>
  <si>
    <t xml:space="preserve">other time</t>
  </si>
  <si>
    <t>[Unknown]</t>
  </si>
  <si>
    <t>0s</t>
  </si>
  <si>
    <t>0ms</t>
  </si>
  <si>
    <t xml:space="preserve">0.0 B </t>
  </si>
  <si>
    <t xml:space="preserve">bias_act_kernel_launch(bias_act_kernel_params)::{lambda(sycl::_V1::handler&amp;)#1}::operator()(sycl::_V1::handler&amp;) const::{lambda()#1}::operator()(void) const::{lambda()#2}::operator()(void) const::{lambda(sycl::_V1::nd_item&lt;(int)3&gt;)#1}</t>
  </si>
  <si>
    <t>0.000s</t>
  </si>
  <si>
    <t>0.008ms</t>
  </si>
  <si>
    <t>conv_reorder</t>
  </si>
  <si>
    <t>0.242s</t>
  </si>
  <si>
    <t>0.083ms</t>
  </si>
  <si>
    <t xml:space="preserve">DpcppElementwiseKernelWithIndexImplFunctor&lt;float, at::AtenIpexTypeXPU::impl::linspace_dpcpp_out_functor_2&lt;float&gt;&gt;</t>
  </si>
  <si>
    <t>0.003ms</t>
  </si>
  <si>
    <t xml:space="preserve">ElementwiseKernelFunctor&lt;at::AtenIpexTypeXPU::dpcpp_loops_launch_legacy_kernel_functor&lt;at::AtenIpexTypeXPU::BinaryFunctor&lt;float, float, float, at::AtenIpexTypeXPU::impl::DivFunctor&lt;float&gt;&gt;, float, OffsetCalculator&lt;(int)3, unsigned int, (bool)0&gt;, (int)3&gt;&gt;</t>
  </si>
  <si>
    <t>0.005ms</t>
  </si>
  <si>
    <t xml:space="preserve">ElementwiseKernelFunctor&lt;at::AtenIpexTypeXPU::dpcpp_loops_launch_legacy_kernel_functor&lt;at::AtenIpexTypeXPU::BinaryFunctor&lt;float, float, float, at::AtenIpexTypeXPU::impl::mul_kernel_dpcpp_functor&lt;float&gt;&gt;, float, OffsetCalculator&lt;(int)3, unsigned int, (bool)0&gt;, (int)3&gt;&gt;</t>
  </si>
  <si>
    <t>0.050s</t>
  </si>
  <si>
    <t>0.010ms</t>
  </si>
  <si>
    <t xml:space="preserve">ElementwiseKernelFunctor&lt;at::AtenIpexTypeXPU::dpcpp_loops_launch_legacy_kernel_functor&lt;at::AtenIpexTypeXPU::impl::fill_kernel_dpcpp_functor&lt;float&gt;, float, OffsetCalculator&lt;(int)1, unsigned int, (bool)0&gt;, (int)1&gt;&gt;</t>
  </si>
  <si>
    <t>0.001s</t>
  </si>
  <si>
    <t xml:space="preserve">ElementwiseKernelFunctor&lt;at::AtenIpexTypeXPU::dpcpp_loops_launch_legacy_kernel_functor&lt;at::impl::direct_copy_kernel_gpu_functor&lt;float&gt;, float, OffsetCalculator&lt;(int)2, unsigned int, (bool)0&gt;, (int)2&gt;&gt;</t>
  </si>
  <si>
    <t>0.003s</t>
  </si>
  <si>
    <t>0.011ms</t>
  </si>
  <si>
    <t>gemm_kernel</t>
  </si>
  <si>
    <t>0.016s</t>
  </si>
  <si>
    <t>gen_conv</t>
  </si>
  <si>
    <t>2.300s</t>
  </si>
  <si>
    <t>2.323ms</t>
  </si>
  <si>
    <t xml:space="preserve">reduce_kernel&lt;(int)1, at::AtenIpexTypeXPU::ReduceOp&lt;float, at::AtenIpexTypeXPU::func_wrapper_t&lt;float, at::AtenIpexTypeXPU::ReduceAddOps&lt;float&gt;&gt;, unsigned int, float, (int)4&gt;&gt;</t>
  </si>
  <si>
    <t>0.018s</t>
  </si>
  <si>
    <t>0.020ms</t>
  </si>
  <si>
    <t xml:space="preserve">reduce_kernel&lt;(int)1, at::AtenIpexTypeXPU::ReduceOp&lt;float, at::AtenIpexTypeXPU::NormOps&lt;float, float&gt;, unsigned int, float, (int)4&gt;&gt;</t>
  </si>
  <si>
    <t>0.002s</t>
  </si>
  <si>
    <t>0.016ms</t>
  </si>
  <si>
    <t xml:space="preserve">reduce_kernel&lt;(int)1, at::AtenIpexTypeXPU::ReduceOp&lt;float, at::AtenIpexTypeXPU::ReduceMeanOps&lt;float, float&gt;, unsigned int, float, (int)4&gt;&gt;</t>
  </si>
  <si>
    <t>0.023s</t>
  </si>
  <si>
    <t>0.012ms</t>
  </si>
  <si>
    <t xml:space="preserve">run_filtered_lrelu_kernel&lt;float, int, (bool)0, (bool)0, (int)0, (int)2, (int)12, (int)2, (int)12, (int)32, (int)46, (int)16, (int)10, (int)0&gt;(void, filtered_lrelu_kernel_params&amp;)::{lambda(sycl::_V1::handler&amp;)#1}::operator()(sycl::_V1::handler&amp;) const::{lambda(sycl::_V1::nd_item&lt;(int)3&gt;)#1}</t>
  </si>
  <si>
    <t xml:space="preserve">run_filtered_lrelu_kernel&lt;float, int, (bool)0, (bool)0, (int)0, (int)2, (int)12, (int)2, (int)12, (int)32, (int)46, (int)16, (int)10, (int)0&gt;(void, filtered_lrelu_kernel_params&amp;)::{lambda(sycl::_V1::handler&amp;)#2}::operator()(sycl::_V1::handler&amp;) const::{lambda(sycl::_V1::nd_item&lt;(int)3&gt;)#1}</t>
  </si>
  <si>
    <t>0.383s</t>
  </si>
  <si>
    <t>0.646ms</t>
  </si>
  <si>
    <t xml:space="preserve">run_filtered_lrelu_kernel&lt;float, int, (bool)0, (bool)0, (int)0, (int)4, (int)24, (int)2, (int)12, (int)32, (int)51, (int)16, (int)5, (int)0&gt;(void, filtered_lrelu_kernel_params&amp;)::{lambda(sycl::_V1::handler&amp;)#1}::operator()(sycl::_V1::handler&amp;) const::{lambda(sycl::_V1::nd_item&lt;(int)3&gt;)#1}</t>
  </si>
  <si>
    <t xml:space="preserve">run_filtered_lrelu_kernel&lt;float, int, (bool)0, (bool)0, (int)0, (int)4, (int)24, (int)2, (int)12, (int)32, (int)51, (int)16, (int)5, (int)0&gt;(void, filtered_lrelu_kernel_params&amp;)::{lambda(sycl::_V1::handler&amp;)#2}::operator()(sycl::_V1::handler&amp;) const::{lambda(sycl::_V1::nd_item&lt;(int)3&gt;)#1}</t>
  </si>
  <si>
    <t>0.212s</t>
  </si>
  <si>
    <t>0.642ms</t>
  </si>
  <si>
    <t xml:space="preserve">run_filtered_lrelu_kernel&lt;float, int, (bool)0, (bool)0, (int)3, (int)1, (int)1, (int)1, (int)1, (int)64, (int)178, (int)32, (int)0, (int)0&gt;(void, filtered_lrelu_kernel_params&amp;)::{lambda(sycl::_V1::handler&amp;)#1}::operator()(sycl::_V1::handler&amp;) const::{lambda(sycl::_V1::nd_item&lt;(int)3&gt;)#1}</t>
  </si>
  <si>
    <t xml:space="preserve">run_filtered_lrelu_kernel&lt;float, int, (bool)0, (bool)0, (int)3, (int)1, (int)1, (int)1, (int)1, (int)64, (int)178, (int)32, (int)0, (int)0&gt;(void, filtered_lrelu_kernel_params&amp;)::{lambda(sycl::_V1::handler&amp;)#2}::operator()(sycl::_V1::handler&amp;) const::{lambda(sycl::_V1::nd_item&lt;(int)3&gt;)#1}</t>
  </si>
  <si>
    <t>0.014ms</t>
  </si>
  <si>
    <t xml:space="preserve">UnrolledElementwiseKernelFunctor&lt;(int)4, at::impl::direct_copy_kernel_gpu_functor&lt;float&gt;, torch_ipex::xpu::dpcpp::Array&lt;char*, (int)2&gt;, TrivialOffsetCalculator&lt;(int)1, unsigned int&gt;, TrivialOffsetCalculator&lt;(int)1, unsigned int&gt;, at::native::Memory::LoadWithCast&lt;(int)1, (bool)1&gt;, at::native::Memory::StoreWithCast&lt;(bool)1&gt;&gt;</t>
  </si>
  <si>
    <t>0.029ms</t>
  </si>
  <si>
    <t xml:space="preserve">VectorizedElementwiseKernelFunctor&lt;at::AtenIpexTypeXPU::AUnaryFunctor&lt;float, float, float, at::AtenIpexTypeXPU::impl::mul_kernel_dpcpp_functor&lt;float&gt;&gt;, torch_ipex::xpu::dpcpp::Array&lt;char*, (int)2&gt;, TrivialOffsetCalculator&lt;(int)1, unsigned int&gt;, (int)4&gt;</t>
  </si>
  <si>
    <t>0.008s</t>
  </si>
  <si>
    <t>0.006ms</t>
  </si>
  <si>
    <t xml:space="preserve">VectorizedElementwiseKernelFunctor&lt;at::AtenIpexTypeXPU::AUnaryFunctor&lt;float, float, float, at::impl::AddKernelDpcppFunctor&lt;float, float&gt;&gt;, torch_ipex::xpu::dpcpp::Array&lt;char*, (int)2&gt;, TrivialOffsetCalculator&lt;(int)1, unsigned int&gt;, (int)4&gt;</t>
  </si>
  <si>
    <t>0.004ms</t>
  </si>
  <si>
    <t xml:space="preserve">VectorizedElementwiseKernelFunctor&lt;at::AtenIpexTypeXPU::BinaryFunctor&lt;float, float, float, at::AtenIpexTypeXPU::impl::mul_kernel_dpcpp_functor&lt;float&gt;&gt;, torch_ipex::xpu::dpcpp::Array&lt;char*, (int)3&gt;, OffsetCalculator&lt;(int)2, unsigned int, (bool)0&gt;, (int)4&gt;</t>
  </si>
  <si>
    <t xml:space="preserve">VectorizedElementwiseKernelFunctor&lt;at::AtenIpexTypeXPU::BinaryFunctor&lt;float, float, float, at::impl::AddKernelDpcppFunctor&lt;float, float&gt;&gt;, torch_ipex::xpu::dpcpp::Array&lt;char*, (int)3&gt;, OffsetCalculator&lt;(int)2, unsigned int, (bool)0&gt;, (int)4&gt;</t>
  </si>
  <si>
    <t>0.007ms</t>
  </si>
  <si>
    <t xml:space="preserve">VectorizedElementwiseKernelFunctor&lt;at::AtenIpexTypeXPU::BinaryFunctor&lt;float, float, float, at::impl::AddKernelDpcppFunctor&lt;float, float&gt;&gt;, torch_ipex::xpu::dpcpp::Array&lt;char*, (int)3&gt;, TrivialOffsetCalculator&lt;(int)2, unsigned int&gt;, (int)4&gt;</t>
  </si>
  <si>
    <t xml:space="preserve">VectorizedElementwiseKernelFunctor&lt;at::AtenIpexTypeXPU::BUnaryFunctor&lt;float, float, float, at::AtenIpexTypeXPU::impl::MulFunctor&lt;float&gt;&gt;, torch_ipex::xpu::dpcpp::Array&lt;char*, (int)2&gt;, TrivialOffsetCalculator&lt;(int)1, unsigned int&gt;, (int)4&gt;</t>
  </si>
  <si>
    <t xml:space="preserve">VectorizedElementwiseKernelFunctor&lt;at::AtenIpexTypeXPU::BUnaryFunctor&lt;float, float, float, at::impl::AddKernelDpcppFunctor&lt;float, float&gt;&gt;, torch_ipex::xpu::dpcpp::Array&lt;char*, (int)2&gt;, TrivialOffsetCalculator&lt;(int)1, unsigned int&gt;, (int)4&gt;</t>
  </si>
  <si>
    <t>0.004s</t>
  </si>
  <si>
    <t xml:space="preserve">VectorizedElementwiseKernelFunctor&lt;at::AtenIpexTypeXPU::clamp_min_max_functor&lt;float, float&gt;, torch_ipex::xpu::dpcpp::Array&lt;char*, (int)2&gt;, TrivialOffsetCalculator&lt;(int)1, unsigned int&gt;, (int)4&gt;</t>
  </si>
  <si>
    <t xml:space="preserve">VectorizedElementwiseKernelFunctor&lt;at::AtenIpexTypeXPU::impl::fill_kernel_dpcpp_functor&lt;float&gt;, torch_ipex::xpu::dpcpp::Array&lt;char*, (int)1&gt;, TrivialOffsetCalculator&lt;(int)0, unsigned int&gt;, (int)4&gt;</t>
  </si>
  <si>
    <t>0.002ms</t>
  </si>
  <si>
    <t xml:space="preserve">VectorizedElementwiseKernelFunctor&lt;at::AtenIpexTypeXPU::neg_out_functor&lt;float&gt;, torch_ipex::xpu::dpcpp::Array&lt;char*, (int)2&gt;, TrivialOffsetCalculator&lt;(int)1, unsigned int&gt;, (int)1&gt;</t>
  </si>
  <si>
    <t xml:space="preserve">VectorizedElementwiseKernelFunctor&lt;at::AtenIpexTypeXPU::neg_out_functor&lt;float&gt;, torch_ipex::xpu::dpcpp::Array&lt;char*, (int)2&gt;, TrivialOffsetCalculator&lt;(int)1, unsigned int&gt;, (int)2&gt;</t>
  </si>
  <si>
    <t xml:space="preserve">VectorizedElementwiseKernelFunctor&lt;at::AtenIpexTypeXPU::pow_tensor_scalar_kernel_impl_functor&lt;float&gt;, torch_ipex::xpu::dpcpp::Array&lt;char*, (int)2&gt;, TrivialOffsetCalculator&lt;(int)1, unsigned int&gt;, (int)4&gt;</t>
  </si>
  <si>
    <t>0.024s</t>
  </si>
  <si>
    <t xml:space="preserve">VectorizedElementwiseKernelFunctor&lt;at::AtenIpexTypeXPU::rsqrt_kernel_xpu_functor&lt;float&gt;, torch_ipex::xpu::dpcpp::Array&lt;char*, (int)2&gt;, TrivialOffsetCalculator&lt;(int)1, unsigned int&gt;, (int)4&gt;</t>
  </si>
  <si>
    <t>0.015s</t>
  </si>
  <si>
    <t xml:space="preserve">VectorizedElementwiseKernelFunctor&lt;at::AtenIpexTypeXPU::sin_out_functor&lt;float&gt;, torch_ipex::xpu::dpcpp::Array&lt;char*, (int)2&gt;, TrivialOffsetCalculator&lt;(int)1, unsigned int&gt;, (int)4&gt;</t>
  </si>
  <si>
    <t xml:space="preserve">VectorizedElementwiseKernelFunctor&lt;at::impl::memcpyAsync_functor&lt;float&gt;, torch_ipex::xpu::dpcpp::Array&lt;char*, (int)2&gt;, TrivialOffsetCalculator&lt;(int)1, unsigned int&gt;, (int)1&gt;</t>
  </si>
  <si>
    <t xml:space="preserve">VectorizedElementwiseKernelFunctor&lt;at::impl::memcpyAsync_functor&lt;float&gt;, torch_ipex::xpu::dpcpp::Array&lt;char*, (int)2&gt;, TrivialOffsetCalculator&lt;(int)1, unsigned int&gt;, (int)2&gt;</t>
  </si>
  <si>
    <t xml:space="preserve">VectorizedElementwiseKernelFunctor&lt;at::impl::memcpyAsync_functor&lt;float&gt;, torch_ipex::xpu::dpcpp::Array&lt;char*, (int)2&gt;, TrivialOffsetCalculator&lt;(int)1, unsigned int&gt;, (int)4&gt;</t>
  </si>
  <si>
    <t>zeCommandListAppendMemoryCopy</t>
  </si>
  <si>
    <t>0.153s</t>
  </si>
  <si>
    <t>0.069ms</t>
  </si>
  <si>
    <t xml:space="preserve">47.1 GB </t>
  </si>
  <si>
    <t>zeCommandListAppendMemoryFill</t>
  </si>
  <si>
    <t xml:space="preserve">14.7 MB </t>
  </si>
  <si>
    <t>min</t>
  </si>
  <si>
    <t>mean</t>
  </si>
  <si>
    <t>median</t>
  </si>
  <si>
    <t>max</t>
  </si>
  <si>
    <t>2025-03-27T15:36:46+01:00</t>
  </si>
  <si>
    <t>Z790P</t>
  </si>
  <si>
    <t>stylegan3_2_3_110_xpu</t>
  </si>
  <si>
    <t>heads/debug_profiling-0-gdab3304-dirty</t>
  </si>
  <si>
    <t>stylegan2-afhqv2-512x512.pkl</t>
  </si>
  <si>
    <t>min/mean/median/max</t>
  </si>
  <si>
    <t>rate:</t>
  </si>
  <si>
    <t>it/s</t>
  </si>
  <si>
    <t xml:space="preserve">inter-run standard deviation (percentage of average value)</t>
  </si>
  <si>
    <t>2025-03-27T17:11:15+01:00</t>
  </si>
  <si>
    <t>2025-03-27T17:14:01+01:00</t>
  </si>
  <si>
    <t>2025-03-27T15:33:32+01:00</t>
  </si>
  <si>
    <t>stylegan3-r-afhqv2-512x512.pkl</t>
  </si>
  <si>
    <t>2025-03-27T17:10:37+01:00</t>
  </si>
  <si>
    <t>2025-03-27T17:13:23+01:00</t>
  </si>
  <si>
    <t>2025-03-27T15:36:29+01:00</t>
  </si>
  <si>
    <t>stylegan3-t-afhqv2-512x512.pkl</t>
  </si>
  <si>
    <t>2025-03-27T17:10:57+01:00</t>
  </si>
  <si>
    <t>2025-03-27T17:13:43+01:00</t>
  </si>
  <si>
    <t>avg</t>
  </si>
  <si>
    <t xml:space="preserve">-&gt; we should probably measure the average it/s or max it/s rather than the currently used median speed</t>
  </si>
  <si>
    <t xml:space="preserve">1080Ti (CUDA)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</si>
</sst>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[$-F400]h:mm:ss AM/PM"/>
    <numFmt numFmtId="166" formatCode="0.000"/>
  </numFmts>
  <fonts count="3">
    <font>
      <sz val="11.000000"/>
      <color theme="1"/>
      <name val="Calibri"/>
      <scheme val="minor"/>
    </font>
    <font>
      <sz val="11.000000"/>
      <color theme="1" tint="0.499984740745262"/>
      <name val="Calibri"/>
      <scheme val="minor"/>
    </font>
    <font>
      <b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21">
    <xf fontId="0" fillId="0" borderId="0" numFmtId="0" xfId="0"/>
    <xf fontId="1" fillId="0" borderId="0" numFmtId="0" xfId="0" applyFont="1"/>
    <xf fontId="0" fillId="0" borderId="0" numFmtId="2" xfId="0" applyNumberFormat="1"/>
    <xf fontId="0" fillId="0" borderId="0" numFmtId="0" xfId="0">
      <protection hidden="0" locked="1"/>
    </xf>
    <xf fontId="0" fillId="0" borderId="0" numFmtId="0" xfId="0"/>
    <xf fontId="0" fillId="0" borderId="0" numFmtId="164" xfId="0" applyNumberFormat="1"/>
    <xf fontId="0" fillId="0" borderId="0" numFmtId="165" xfId="0" applyNumberFormat="1"/>
    <xf fontId="0" fillId="2" borderId="0" numFmtId="0" xfId="0" applyFill="1"/>
    <xf fontId="0" fillId="0" borderId="0" numFmtId="10" xfId="0" applyNumberFormat="1"/>
    <xf fontId="0" fillId="0" borderId="0" numFmtId="3" xfId="0" applyNumberFormat="1"/>
    <xf fontId="0" fillId="0" borderId="0" numFmtId="9" xfId="0" applyNumberFormat="1"/>
    <xf fontId="0" fillId="2" borderId="0" numFmtId="166" xfId="0" applyNumberFormat="1" applyFill="1"/>
    <xf fontId="2" fillId="0" borderId="0" numFmtId="0" xfId="0" applyFont="1"/>
    <xf fontId="2" fillId="0" borderId="0" numFmtId="165" xfId="0" applyNumberFormat="1" applyFont="1"/>
    <xf fontId="2" fillId="0" borderId="0" numFmtId="10" xfId="0" applyNumberFormat="1" applyFont="1"/>
    <xf fontId="2" fillId="0" borderId="0" numFmtId="3" xfId="0" applyNumberFormat="1" applyFont="1"/>
    <xf fontId="2" fillId="0" borderId="0" numFmtId="9" xfId="0" applyNumberFormat="1" applyFont="1"/>
    <xf fontId="0" fillId="0" borderId="0" numFmtId="4" xfId="0" applyNumberFormat="1"/>
    <xf fontId="2" fillId="2" borderId="0" numFmtId="166" xfId="0" applyNumberFormat="1" applyFont="1" applyFill="1"/>
    <xf fontId="0" fillId="0" borderId="0" numFmtId="166" xfId="0" applyNumberFormat="1"/>
    <xf fontId="0" fillId="0" borderId="0" numFmt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stylegan3-r performance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current!$B$2</c:f>
              <c:numCache>
                <c:formatCode>0.00</c:formatCode>
                <c:ptCount val="1"/>
                <c:pt idx="0">
                  <c:v>7.45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current!$B$3</c:f>
              <c:numCache>
                <c:formatCode>0.00</c:formatCode>
                <c:ptCount val="1"/>
                <c:pt idx="0">
                  <c:v>7.26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A770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current!$B$4</c:f>
              <c:numCache>
                <c:formatCode>0.00</c:formatCode>
                <c:ptCount val="1"/>
                <c:pt idx="0">
                  <c:v>6.83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current!$B$5</c:f>
              <c:numCache>
                <c:formatCode>0.00</c:formatCode>
                <c:ptCount val="1"/>
                <c:pt idx="0">
                  <c:v>6.42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current!$B$6</c:f>
              <c:numCache>
                <c:formatCode>0.00</c:formatCode>
                <c:ptCount val="1"/>
                <c:pt idx="0">
                  <c:v>6.3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PVC Max 1100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current!$B$7</c:f>
              <c:numCache>
                <c:formatCode>0.00</c:formatCode>
                <c:ptCount val="1"/>
                <c:pt idx="0">
                  <c:v>6.45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current!$B$8</c:f>
              <c:numCache>
                <c:formatCode>0.00</c:formatCode>
                <c:ptCount val="1"/>
                <c:pt idx="0">
                  <c:v>11.9</c:v>
                </c:pt>
              </c:numCache>
            </c:numRef>
          </c:val>
        </c:ser>
        <c:ser>
          <c:idx val="7"/>
          <c:order val="7"/>
          <c:tx>
            <c:strRef>
              <c:f>current!$A$9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current!$B$9</c:f>
              <c:numCache>
                <c:formatCode>0.00</c:formatCode>
                <c:ptCount val="1"/>
                <c:pt idx="0">
                  <c:v>12.63</c:v>
                </c:pt>
              </c:numCache>
            </c:numRef>
          </c:val>
        </c:ser>
        <c:ser>
          <c:idx val="8"/>
          <c:order val="8"/>
          <c:tx>
            <c:strRef>
              <c:f>current!$A$10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current!$B$10</c:f>
              <c:numCache>
                <c:formatCode>0.00</c:formatCode>
                <c:ptCount val="1"/>
                <c:pt idx="0">
                  <c:v>13.86</c:v>
                </c:pt>
              </c:numCache>
            </c:numRef>
          </c:val>
        </c:ser>
        <c:ser>
          <c:idx val="9"/>
          <c:order val="9"/>
          <c:tx>
            <c:strRef>
              <c:f>current!$A$11</c:f>
              <c:strCache>
                <c:ptCount val="1"/>
                <c:pt idx="0">
                  <c:v>1080Ti (CUDA,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current!$B$11</c:f>
              <c:numCache>
                <c:formatCode>0.00</c:formatCode>
                <c:ptCount val="1"/>
                <c:pt idx="0">
                  <c:v>14.84</c:v>
                </c:pt>
              </c:numCache>
            </c:numRef>
          </c:val>
        </c:ser>
        <c:ser>
          <c:idx val="10"/>
          <c:order val="10"/>
          <c:tx>
            <c:strRef>
              <c:f>current!$A$12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current!$B$12</c:f>
              <c:numCache>
                <c:formatCode>0.00</c:formatCode>
                <c:ptCount val="1"/>
                <c:pt idx="0">
                  <c:v>1.01</c:v>
                </c:pt>
              </c:numCache>
            </c:numRef>
          </c:val>
        </c:ser>
        <c:ser>
          <c:idx val="11"/>
          <c:order val="11"/>
          <c:tx>
            <c:strRef>
              <c:f>current!$A$13</c:f>
              <c:strCache>
                <c:ptCount val="1"/>
                <c:pt idx="0">
                  <c:v>A770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current!$B$13</c:f>
              <c:numCache>
                <c:formatCode>0.00</c:formatCode>
                <c:ptCount val="1"/>
                <c:pt idx="0">
                  <c:v>1.01</c:v>
                </c:pt>
              </c:numCache>
            </c:numRef>
          </c:val>
        </c:ser>
        <c:ser>
          <c:idx val="12"/>
          <c:order val="12"/>
          <c:tx>
            <c:strRef>
              <c:f>current!$A$14</c:f>
              <c:strCache>
                <c:ptCount val="1"/>
                <c:pt idx="0">
                  <c:v>PVC Max 1100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current!$B$14</c:f>
              <c:numCache>
                <c:formatCode>0.00</c:formatCode>
                <c:ptCount val="1"/>
                <c:pt idx="0">
                  <c:v>1.86</c:v>
                </c:pt>
              </c:numCache>
            </c:numRef>
          </c:val>
        </c:ser>
        <c:ser>
          <c:idx val="13"/>
          <c:order val="13"/>
          <c:tx>
            <c:strRef>
              <c:f>current!$A$15</c:f>
              <c:strCache>
                <c:ptCount val="1"/>
                <c:pt idx="0">
                  <c:v>PVC Max 1100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current!$B$15</c:f>
              <c:numCache>
                <c:formatCode>0.00</c:formatCode>
                <c:ptCount val="1"/>
                <c:pt idx="0">
                  <c:v>1.86</c:v>
                </c:pt>
              </c:numCache>
            </c:numRef>
          </c:val>
        </c:ser>
        <c:ser>
          <c:idx val="14"/>
          <c:order val="14"/>
          <c:tx>
            <c:strRef>
              <c:f>current!$A$16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current!$B$16</c:f>
              <c:numCache>
                <c:formatCode>0.00</c:formatCode>
                <c:ptCount val="1"/>
                <c:pt idx="0">
                  <c:v>0.24</c:v>
                </c:pt>
              </c:numCache>
            </c:numRef>
          </c:val>
        </c:ser>
        <c:ser>
          <c:idx val="15"/>
          <c:order val="15"/>
          <c:tx>
            <c:strRef>
              <c:f>current!$A$17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current!$B$17</c:f>
              <c:numCache>
                <c:formatCode>0.00</c:formatCode>
                <c:ptCount val="1"/>
                <c:pt idx="0">
                  <c:v>0.26</c:v>
                </c:pt>
              </c:numCache>
            </c:numRef>
          </c:val>
        </c:ser>
        <c:ser>
          <c:idx val="16"/>
          <c:order val="16"/>
          <c:tx>
            <c:strRef>
              <c:f>current!$A$18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current!$B$18</c:f>
              <c:numCache>
                <c:formatCode>0.00</c:formatCode>
                <c:ptCount val="1"/>
                <c:pt idx="0">
                  <c:v>0.23</c:v>
                </c:pt>
              </c:numCache>
            </c:numRef>
          </c:val>
        </c:ser>
        <c:ser>
          <c:idx val="17"/>
          <c:order val="17"/>
          <c:tx>
            <c:strRef>
              <c:f>current!$A$19</c:f>
              <c:strCache>
                <c:ptCount val="1"/>
                <c:pt idx="0">
                  <c:v>1080Ti ("ref",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current!$B$19</c:f>
              <c:numCache>
                <c:formatCode>0.00</c:formatCode>
                <c:ptCount val="1"/>
                <c:pt idx="0">
                  <c:v>0.27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2155"/>
        <c:axId val="2140842156"/>
      </c:barChart>
      <c:catAx>
        <c:axId val="214084215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6"/>
        <c:crosses val="autoZero"/>
        <c:auto val="1"/>
        <c:lblAlgn val="ctr"/>
        <c:lblOffset val="100"/>
        <c:tickMarkSkip val="1"/>
        <c:noMultiLvlLbl val="0"/>
      </c:catAx>
      <c:valAx>
        <c:axId val="214084215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6591299" y="38098"/>
      <a:ext cx="6153149" cy="52292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stylegan2 performance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current!$D$2</c:f>
              <c:numCache>
                <c:formatCode>0.00</c:formatCode>
                <c:ptCount val="1"/>
                <c:pt idx="0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current!$D$3</c:f>
              <c:numCache>
                <c:formatCode>0.00</c:formatCode>
                <c:ptCount val="1"/>
                <c:pt idx="0">
                  <c:v>27.23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A770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current!$D$4</c:f>
              <c:numCache>
                <c:formatCode>0.00</c:formatCode>
                <c:ptCount val="1"/>
                <c:pt idx="0">
                  <c:v>21.14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current!$D$5</c:f>
              <c:numCache>
                <c:formatCode>0.00</c:formatCode>
                <c:ptCount val="1"/>
                <c:pt idx="0">
                  <c:v>33.37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current!$D$6</c:f>
              <c:numCache>
                <c:formatCode>0.00</c:formatCode>
                <c:ptCount val="1"/>
                <c:pt idx="0">
                  <c:v>32.62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PVC Max 1100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current!$D$7</c:f>
              <c:numCache>
                <c:formatCode>0.00</c:formatCode>
                <c:ptCount val="1"/>
                <c:pt idx="0">
                  <c:v>35.04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current!$D$8</c:f>
              <c:numCache>
                <c:formatCode>0.00</c:formatCode>
                <c:ptCount val="1"/>
                <c:pt idx="0">
                  <c:v>20.83</c:v>
                </c:pt>
              </c:numCache>
            </c:numRef>
          </c:val>
        </c:ser>
        <c:ser>
          <c:idx val="7"/>
          <c:order val="7"/>
          <c:tx>
            <c:strRef>
              <c:f>current!$A$9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current!$D$9</c:f>
              <c:numCache>
                <c:formatCode>0.00</c:formatCode>
                <c:ptCount val="1"/>
                <c:pt idx="0">
                  <c:v>22.07</c:v>
                </c:pt>
              </c:numCache>
            </c:numRef>
          </c:val>
        </c:ser>
        <c:ser>
          <c:idx val="8"/>
          <c:order val="8"/>
          <c:tx>
            <c:strRef>
              <c:f>current!$A$10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current!$D$10</c:f>
              <c:numCache>
                <c:formatCode>0.00</c:formatCode>
                <c:ptCount val="1"/>
                <c:pt idx="0">
                  <c:v>36.68</c:v>
                </c:pt>
              </c:numCache>
            </c:numRef>
          </c:val>
        </c:ser>
        <c:ser>
          <c:idx val="9"/>
          <c:order val="9"/>
          <c:tx>
            <c:strRef>
              <c:f>current!$A$11</c:f>
              <c:strCache>
                <c:ptCount val="1"/>
                <c:pt idx="0">
                  <c:v>1080Ti (CUDA,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current!$D$11</c:f>
              <c:numCache>
                <c:formatCode>0.00</c:formatCode>
                <c:ptCount val="1"/>
                <c:pt idx="0">
                  <c:v>38.2</c:v>
                </c:pt>
              </c:numCache>
            </c:numRef>
          </c:val>
        </c:ser>
        <c:ser>
          <c:idx val="10"/>
          <c:order val="10"/>
          <c:tx>
            <c:strRef>
              <c:f>current!$A$12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current!$D$12</c:f>
              <c:numCache>
                <c:formatCode>0.00</c:formatCode>
                <c:ptCount val="1"/>
                <c:pt idx="0">
                  <c:v>24.52</c:v>
                </c:pt>
              </c:numCache>
            </c:numRef>
          </c:val>
        </c:ser>
        <c:ser>
          <c:idx val="11"/>
          <c:order val="11"/>
          <c:tx>
            <c:strRef>
              <c:f>current!$A$13</c:f>
              <c:strCache>
                <c:ptCount val="1"/>
                <c:pt idx="0">
                  <c:v>A770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current!$D$13</c:f>
              <c:numCache>
                <c:formatCode>0.00</c:formatCode>
                <c:ptCount val="1"/>
                <c:pt idx="0">
                  <c:v>20.69</c:v>
                </c:pt>
              </c:numCache>
            </c:numRef>
          </c:val>
        </c:ser>
        <c:ser>
          <c:idx val="12"/>
          <c:order val="12"/>
          <c:tx>
            <c:strRef>
              <c:f>current!$A$14</c:f>
              <c:strCache>
                <c:ptCount val="1"/>
                <c:pt idx="0">
                  <c:v>PVC Max 1100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current!$D$14</c:f>
              <c:numCache>
                <c:formatCode>0.00</c:formatCode>
                <c:ptCount val="1"/>
                <c:pt idx="0">
                  <c:v>34.75</c:v>
                </c:pt>
              </c:numCache>
            </c:numRef>
          </c:val>
        </c:ser>
        <c:ser>
          <c:idx val="13"/>
          <c:order val="13"/>
          <c:tx>
            <c:strRef>
              <c:f>current!$A$15</c:f>
              <c:strCache>
                <c:ptCount val="1"/>
                <c:pt idx="0">
                  <c:v>PVC Max 1100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current!$D$15</c:f>
              <c:numCache>
                <c:formatCode>0.00</c:formatCode>
                <c:ptCount val="1"/>
                <c:pt idx="0">
                  <c:v>36.38</c:v>
                </c:pt>
              </c:numCache>
            </c:numRef>
          </c:val>
        </c:ser>
        <c:ser>
          <c:idx val="14"/>
          <c:order val="14"/>
          <c:tx>
            <c:strRef>
              <c:f>current!$A$16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current!$D$16</c:f>
              <c:numCache>
                <c:formatCode>0.00</c:formatCode>
                <c:ptCount val="1"/>
                <c:pt idx="0">
                  <c:v>15.13</c:v>
                </c:pt>
              </c:numCache>
            </c:numRef>
          </c:val>
        </c:ser>
        <c:ser>
          <c:idx val="15"/>
          <c:order val="15"/>
          <c:tx>
            <c:strRef>
              <c:f>current!$A$17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current!$D$17</c:f>
              <c:numCache>
                <c:formatCode>0.00</c:formatCode>
                <c:ptCount val="1"/>
                <c:pt idx="0">
                  <c:v>16.02</c:v>
                </c:pt>
              </c:numCache>
            </c:numRef>
          </c:val>
        </c:ser>
        <c:ser>
          <c:idx val="16"/>
          <c:order val="16"/>
          <c:tx>
            <c:strRef>
              <c:f>current!$A$18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current!$D$18</c:f>
              <c:numCache>
                <c:formatCode>0.00</c:formatCode>
                <c:ptCount val="1"/>
                <c:pt idx="0">
                  <c:v>22.7</c:v>
                </c:pt>
              </c:numCache>
            </c:numRef>
          </c:val>
        </c:ser>
        <c:ser>
          <c:idx val="17"/>
          <c:order val="17"/>
          <c:tx>
            <c:strRef>
              <c:f>current!$A$19</c:f>
              <c:strCache>
                <c:ptCount val="1"/>
                <c:pt idx="0">
                  <c:v>1080Ti ("ref",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current!$D$19</c:f>
              <c:numCache>
                <c:formatCode>0.00</c:formatCode>
                <c:ptCount val="1"/>
                <c:pt idx="0">
                  <c:v>25.14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4"/>
        <c:axId val="2140842159"/>
        <c:axId val="2140842160"/>
      </c:barChart>
      <c:catAx>
        <c:axId val="214084215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60"/>
        <c:crosses val="autoZero"/>
        <c:auto val="1"/>
        <c:lblAlgn val="ctr"/>
        <c:lblOffset val="100"/>
        <c:tickMarkSkip val="1"/>
        <c:noMultiLvlLbl val="0"/>
      </c:catAx>
      <c:valAx>
        <c:axId val="214084216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18897599" y="38098"/>
      <a:ext cx="6153149" cy="52292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stylegan3-t performance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current!$C$2</c:f>
              <c:numCache>
                <c:formatCode>0.00</c:formatCode>
                <c:ptCount val="1"/>
                <c:pt idx="0">
                  <c:v>10.01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current!$C$3</c:f>
              <c:numCache>
                <c:formatCode>0.00</c:formatCode>
                <c:ptCount val="1"/>
                <c:pt idx="0">
                  <c:v>9.98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A770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current!$C$4</c:f>
              <c:numCache>
                <c:formatCode>0.00</c:formatCode>
                <c:ptCount val="1"/>
                <c:pt idx="0">
                  <c:v>9.29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current!$C$5</c:f>
              <c:numCache>
                <c:formatCode>0.00</c:formatCode>
                <c:ptCount val="1"/>
                <c:pt idx="0">
                  <c:v>14.91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current!$C$6</c:f>
              <c:numCache>
                <c:formatCode>0.00</c:formatCode>
                <c:ptCount val="1"/>
                <c:pt idx="0">
                  <c:v>14.55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PVC Max 1100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current!$C$7</c:f>
              <c:numCache>
                <c:formatCode>0.00</c:formatCode>
                <c:ptCount val="1"/>
                <c:pt idx="0">
                  <c:v>14.51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current!$C$8</c:f>
              <c:numCache>
                <c:formatCode>0.00</c:formatCode>
                <c:ptCount val="1"/>
                <c:pt idx="0">
                  <c:v>10.27</c:v>
                </c:pt>
              </c:numCache>
            </c:numRef>
          </c:val>
        </c:ser>
        <c:ser>
          <c:idx val="7"/>
          <c:order val="7"/>
          <c:tx>
            <c:strRef>
              <c:f>current!$A$9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current!$C$9</c:f>
              <c:numCache>
                <c:formatCode>0.00</c:formatCode>
                <c:ptCount val="1"/>
                <c:pt idx="0">
                  <c:v>10.9</c:v>
                </c:pt>
              </c:numCache>
            </c:numRef>
          </c:val>
        </c:ser>
        <c:ser>
          <c:idx val="8"/>
          <c:order val="8"/>
          <c:tx>
            <c:strRef>
              <c:f>current!$A$10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current!$C$10</c:f>
              <c:numCache>
                <c:formatCode>0.00</c:formatCode>
                <c:ptCount val="1"/>
                <c:pt idx="0">
                  <c:v>7.04</c:v>
                </c:pt>
              </c:numCache>
            </c:numRef>
          </c:val>
        </c:ser>
        <c:ser>
          <c:idx val="9"/>
          <c:order val="9"/>
          <c:tx>
            <c:strRef>
              <c:f>current!$A$11</c:f>
              <c:strCache>
                <c:ptCount val="1"/>
                <c:pt idx="0">
                  <c:v>1080Ti (CUDA,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current!$C$11</c:f>
              <c:numCache>
                <c:formatCode>0.00</c:formatCode>
                <c:ptCount val="1"/>
                <c:pt idx="0">
                  <c:v>7.6</c:v>
                </c:pt>
              </c:numCache>
            </c:numRef>
          </c:val>
        </c:ser>
        <c:ser>
          <c:idx val="10"/>
          <c:order val="10"/>
          <c:tx>
            <c:strRef>
              <c:f>current!$A$12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current!$C$12</c:f>
              <c:numCache>
                <c:formatCode>0.00</c:formatCode>
                <c:ptCount val="1"/>
                <c:pt idx="0">
                  <c:v>1.77</c:v>
                </c:pt>
              </c:numCache>
            </c:numRef>
          </c:val>
        </c:ser>
        <c:ser>
          <c:idx val="11"/>
          <c:order val="11"/>
          <c:tx>
            <c:strRef>
              <c:f>current!$A$13</c:f>
              <c:strCache>
                <c:ptCount val="1"/>
                <c:pt idx="0">
                  <c:v>A770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current!$C$13</c:f>
              <c:numCache>
                <c:formatCode>0.00</c:formatCode>
                <c:ptCount val="1"/>
                <c:pt idx="0">
                  <c:v>1.75</c:v>
                </c:pt>
              </c:numCache>
            </c:numRef>
          </c:val>
        </c:ser>
        <c:ser>
          <c:idx val="12"/>
          <c:order val="12"/>
          <c:tx>
            <c:strRef>
              <c:f>current!$A$14</c:f>
              <c:strCache>
                <c:ptCount val="1"/>
                <c:pt idx="0">
                  <c:v>PVC Max 1100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current!$C$14</c:f>
              <c:numCache>
                <c:formatCode>0.00</c:formatCode>
                <c:ptCount val="1"/>
                <c:pt idx="0">
                  <c:v>3.11</c:v>
                </c:pt>
              </c:numCache>
            </c:numRef>
          </c:val>
        </c:ser>
        <c:ser>
          <c:idx val="13"/>
          <c:order val="13"/>
          <c:tx>
            <c:strRef>
              <c:f>current!$A$15</c:f>
              <c:strCache>
                <c:ptCount val="1"/>
                <c:pt idx="0">
                  <c:v>PVC Max 1100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current!$C$15</c:f>
              <c:numCache>
                <c:formatCode>0.00</c:formatCode>
                <c:ptCount val="1"/>
                <c:pt idx="0">
                  <c:v>3.11</c:v>
                </c:pt>
              </c:numCache>
            </c:numRef>
          </c:val>
        </c:ser>
        <c:ser>
          <c:idx val="14"/>
          <c:order val="14"/>
          <c:tx>
            <c:strRef>
              <c:f>current!$A$16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current!$C$16</c:f>
              <c:numCache>
                <c:formatCode>0.00</c:formatCode>
                <c:ptCount val="1"/>
                <c:pt idx="0">
                  <c:v>0.92</c:v>
                </c:pt>
              </c:numCache>
            </c:numRef>
          </c:val>
        </c:ser>
        <c:ser>
          <c:idx val="15"/>
          <c:order val="15"/>
          <c:tx>
            <c:strRef>
              <c:f>current!$A$17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current!$C$17</c:f>
              <c:numCache>
                <c:formatCode>0.00</c:formatCode>
                <c:ptCount val="1"/>
                <c:pt idx="0">
                  <c:v>0.97</c:v>
                </c:pt>
              </c:numCache>
            </c:numRef>
          </c:val>
        </c:ser>
        <c:ser>
          <c:idx val="16"/>
          <c:order val="16"/>
          <c:tx>
            <c:strRef>
              <c:f>current!$A$18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current!$C$18</c:f>
              <c:numCache>
                <c:formatCode>0.00</c:formatCode>
                <c:ptCount val="1"/>
                <c:pt idx="0">
                  <c:v>0.82</c:v>
                </c:pt>
              </c:numCache>
            </c:numRef>
          </c:val>
        </c:ser>
        <c:ser>
          <c:idx val="17"/>
          <c:order val="17"/>
          <c:tx>
            <c:strRef>
              <c:f>current!$A$19</c:f>
              <c:strCache>
                <c:ptCount val="1"/>
                <c:pt idx="0">
                  <c:v>1080Ti ("ref",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current!$C$19</c:f>
              <c:numCache>
                <c:formatCode>0.00</c:formatCode>
                <c:ptCount val="1"/>
                <c:pt idx="0">
                  <c:v>0.95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2157"/>
        <c:axId val="2140842158"/>
      </c:barChart>
      <c:catAx>
        <c:axId val="214084215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8"/>
        <c:crosses val="autoZero"/>
        <c:auto val="1"/>
        <c:lblAlgn val="ctr"/>
        <c:lblOffset val="100"/>
        <c:tickMarkSkip val="1"/>
        <c:noMultiLvlLbl val="0"/>
      </c:catAx>
      <c:valAx>
        <c:axId val="21408421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12744449" y="38098"/>
      <a:ext cx="6153149" cy="52292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Performance with optimized kernels (SYCL </a:t>
            </a:r>
            <a:r>
              <a:rPr/>
              <a:t>or CUDA)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current!$B$2:$D$2</c:f>
              <c:numCache>
                <c:formatCode>0.00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current!$B$3:$D$3</c:f>
              <c:numCache>
                <c:formatCode>0.00</c:formatCode>
                <c:ptCount val="3"/>
                <c:pt idx="0">
                  <c:v>7.26</c:v>
                </c:pt>
                <c:pt idx="1">
                  <c:v>9.98</c:v>
                </c:pt>
                <c:pt idx="2">
                  <c:v>27.23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A770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current!$B$4:$D$4</c:f>
              <c:numCache>
                <c:formatCode>0.00</c:formatCode>
                <c:ptCount val="3"/>
                <c:pt idx="0">
                  <c:v>6.83</c:v>
                </c:pt>
                <c:pt idx="1">
                  <c:v>9.29</c:v>
                </c:pt>
                <c:pt idx="2">
                  <c:v>21.14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current!$B$5:$D$5</c:f>
              <c:numCache>
                <c:formatCode>0.00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current!$B$6:$D$6</c:f>
              <c:numCache>
                <c:formatCode>0.00</c:formatCode>
                <c:ptCount val="3"/>
                <c:pt idx="0">
                  <c:v>6.3</c:v>
                </c:pt>
                <c:pt idx="1">
                  <c:v>14.55</c:v>
                </c:pt>
                <c:pt idx="2">
                  <c:v>32.62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PVC Max 1100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current!$B$7:$D$7</c:f>
              <c:numCache>
                <c:formatCode>0.00</c:formatCode>
                <c:ptCount val="3"/>
                <c:pt idx="0">
                  <c:v>6.45</c:v>
                </c:pt>
                <c:pt idx="1">
                  <c:v>14.51</c:v>
                </c:pt>
                <c:pt idx="2">
                  <c:v>35.04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current!$B$8:$D$8</c:f>
              <c:numCache>
                <c:formatCode>0.00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ser>
          <c:idx val="7"/>
          <c:order val="7"/>
          <c:tx>
            <c:strRef>
              <c:f>current!$A$9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current!$B$9:$D$9</c:f>
              <c:numCache>
                <c:formatCode>0.00</c:formatCode>
                <c:ptCount val="3"/>
                <c:pt idx="0">
                  <c:v>12.63</c:v>
                </c:pt>
                <c:pt idx="1">
                  <c:v>10.9</c:v>
                </c:pt>
                <c:pt idx="2">
                  <c:v>22.07</c:v>
                </c:pt>
              </c:numCache>
            </c:numRef>
          </c:val>
        </c:ser>
        <c:ser>
          <c:idx val="8"/>
          <c:order val="8"/>
          <c:tx>
            <c:strRef>
              <c:f>current!$A$10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current!$B$10:$D$10</c:f>
              <c:numCache>
                <c:formatCode>0.00</c:formatCode>
                <c:ptCount val="3"/>
                <c:pt idx="0">
                  <c:v>13.86</c:v>
                </c:pt>
                <c:pt idx="1">
                  <c:v>7.04</c:v>
                </c:pt>
                <c:pt idx="2">
                  <c:v>36.68</c:v>
                </c:pt>
              </c:numCache>
            </c:numRef>
          </c:val>
        </c:ser>
        <c:ser>
          <c:idx val="9"/>
          <c:order val="9"/>
          <c:tx>
            <c:strRef>
              <c:f>current!$A$11</c:f>
              <c:strCache>
                <c:ptCount val="1"/>
                <c:pt idx="0">
                  <c:v>1080Ti (CUDA,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current!$B$11:$D$11</c:f>
              <c:numCache>
                <c:formatCode>0.00</c:formatCode>
                <c:ptCount val="3"/>
                <c:pt idx="0">
                  <c:v>14.84</c:v>
                </c:pt>
                <c:pt idx="1">
                  <c:v>7.6</c:v>
                </c:pt>
                <c:pt idx="2">
                  <c:v>38.2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2161"/>
        <c:axId val="2140842162"/>
      </c:barChart>
      <c:catAx>
        <c:axId val="21408421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62"/>
        <c:crosses val="autoZero"/>
        <c:auto val="1"/>
        <c:lblAlgn val="ctr"/>
        <c:lblOffset val="100"/>
        <c:tickMarkSkip val="1"/>
        <c:noMultiLvlLbl val="0"/>
      </c:catAx>
      <c:valAx>
        <c:axId val="214084216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6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6591299" y="5267323"/>
      <a:ext cx="12163424" cy="37909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stylegan3 without optimized kernels (only PyTorch-native operations)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current!$A$12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current!$B$12:$C$12</c:f>
              <c:numCache>
                <c:formatCode>0.00</c:formatCode>
                <c:ptCount val="2"/>
                <c:pt idx="0">
                  <c:v>1.01</c:v>
                </c:pt>
                <c:pt idx="1">
                  <c:v>1.77</c:v>
                </c:pt>
              </c:numCache>
            </c:numRef>
          </c:val>
        </c:ser>
        <c:ser>
          <c:idx val="1"/>
          <c:order val="1"/>
          <c:tx>
            <c:strRef>
              <c:f>current!$A$13</c:f>
              <c:strCache>
                <c:ptCount val="1"/>
                <c:pt idx="0">
                  <c:v>A770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current!$B$13:$C$13</c:f>
              <c:numCache>
                <c:formatCode>0.00</c:formatCode>
                <c:ptCount val="2"/>
                <c:pt idx="0">
                  <c:v>1.01</c:v>
                </c:pt>
                <c:pt idx="1">
                  <c:v>1.75</c:v>
                </c:pt>
              </c:numCache>
            </c:numRef>
          </c:val>
        </c:ser>
        <c:ser>
          <c:idx val="2"/>
          <c:order val="2"/>
          <c:tx>
            <c:strRef>
              <c:f>current!$A$14</c:f>
              <c:strCache>
                <c:ptCount val="1"/>
                <c:pt idx="0">
                  <c:v>PVC Max 1100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current!$B$14:$C$14</c:f>
              <c:numCache>
                <c:formatCode>0.00</c:formatCode>
                <c:ptCount val="2"/>
                <c:pt idx="0">
                  <c:v>1.86</c:v>
                </c:pt>
                <c:pt idx="1">
                  <c:v>3.11</c:v>
                </c:pt>
              </c:numCache>
            </c:numRef>
          </c:val>
        </c:ser>
        <c:ser>
          <c:idx val="3"/>
          <c:order val="3"/>
          <c:tx>
            <c:strRef>
              <c:f>current!$A$15</c:f>
              <c:strCache>
                <c:ptCount val="1"/>
                <c:pt idx="0">
                  <c:v>PVC Max 1100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current!$B$15:$C$15</c:f>
              <c:numCache>
                <c:formatCode>0.00</c:formatCode>
                <c:ptCount val="2"/>
                <c:pt idx="0">
                  <c:v>1.86</c:v>
                </c:pt>
                <c:pt idx="1">
                  <c:v>3.11</c:v>
                </c:pt>
              </c:numCache>
            </c:numRef>
          </c:val>
        </c:ser>
        <c:ser>
          <c:idx val="4"/>
          <c:order val="4"/>
          <c:tx>
            <c:strRef>
              <c:f>current!$A$16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current!$B$16:$C$16</c:f>
              <c:numCache>
                <c:formatCode>0.00</c:formatCode>
                <c:ptCount val="2"/>
                <c:pt idx="0">
                  <c:v>0.24</c:v>
                </c:pt>
                <c:pt idx="1">
                  <c:v>0.92</c:v>
                </c:pt>
              </c:numCache>
            </c:numRef>
          </c:val>
        </c:ser>
        <c:ser>
          <c:idx val="5"/>
          <c:order val="5"/>
          <c:tx>
            <c:strRef>
              <c:f>current!$A$17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current!$B$17:$C$17</c:f>
              <c:numCache>
                <c:formatCode>0.00</c:formatCode>
                <c:ptCount val="2"/>
                <c:pt idx="0">
                  <c:v>0.26</c:v>
                </c:pt>
                <c:pt idx="1">
                  <c:v>0.97</c:v>
                </c:pt>
              </c:numCache>
            </c:numRef>
          </c:val>
        </c:ser>
        <c:ser>
          <c:idx val="6"/>
          <c:order val="6"/>
          <c:tx>
            <c:strRef>
              <c:f>current!$A$18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current!$B$18:$C$18</c:f>
              <c:numCache>
                <c:formatCode>0.00</c:formatCode>
                <c:ptCount val="2"/>
                <c:pt idx="0">
                  <c:v>0.23</c:v>
                </c:pt>
                <c:pt idx="1">
                  <c:v>0.82</c:v>
                </c:pt>
              </c:numCache>
            </c:numRef>
          </c:val>
        </c:ser>
        <c:ser>
          <c:idx val="7"/>
          <c:order val="7"/>
          <c:tx>
            <c:strRef>
              <c:f>current!$A$19</c:f>
              <c:strCache>
                <c:ptCount val="1"/>
                <c:pt idx="0">
                  <c:v>1080Ti ("ref",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current!$B$19:$C$19</c:f>
              <c:numCache>
                <c:formatCode>0.00</c:formatCode>
                <c:ptCount val="2"/>
                <c:pt idx="0">
                  <c:v>0.27</c:v>
                </c:pt>
                <c:pt idx="1">
                  <c:v>0.95</c:v>
                </c:pt>
              </c:numCache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0"/>
        </c:dLbls>
        <c:gapWidth val="219"/>
        <c:overlap val="-26"/>
        <c:axId val="2140842143"/>
        <c:axId val="2140842144"/>
      </c:barChart>
      <c:catAx>
        <c:axId val="2140842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44"/>
        <c:crosses val="autoZero"/>
        <c:auto val="1"/>
        <c:lblAlgn val="ctr"/>
        <c:lblOffset val="100"/>
        <c:tickMarkSkip val="1"/>
        <c:noMultiLvlLbl val="0"/>
      </c:catAx>
      <c:valAx>
        <c:axId val="214084214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txPr>
            <a:bodyPr/>
            <a:p>
              <a:pPr>
                <a:defRPr/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4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18754724" y="5267323"/>
      <a:ext cx="4552949" cy="37909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stylegan3 inference speed (</a:t>
            </a:r>
            <a:r>
              <a:rPr/>
              <a:t>afhqv2-512x512</a:t>
            </a:r>
            <a:r>
              <a:rPr/>
              <a:t>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backup!$A$2</c:f>
              <c:strCache>
                <c:ptCount val="1"/>
                <c:pt idx="0">
                  <c:v>A770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backup!$B$2:$D$2</c:f>
              <c:numCache>
                <c:formatCode>General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backup!$A$3</c:f>
              <c:strCache>
                <c:ptCount val="1"/>
                <c:pt idx="0">
                  <c:v>PVC Max 1100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backup!$B$3:$D$3</c:f>
              <c:numCache>
                <c:formatCode>General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2"/>
          <c:order val="2"/>
          <c:tx>
            <c:strRef>
              <c:f>backup!$A$4</c:f>
              <c:strCache>
                <c:ptCount val="1"/>
                <c:pt idx="0">
                  <c:v>1080Ti (CUDA)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backup!$B$4:$D$4</c:f>
              <c:numCache>
                <c:formatCode>General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1521"/>
        <c:axId val="2140841522"/>
      </c:barChart>
      <c:catAx>
        <c:axId val="21408415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2"/>
        <c:crosses val="autoZero"/>
        <c:auto val="1"/>
        <c:lblAlgn val="ctr"/>
        <c:lblOffset val="100"/>
        <c:tickMarkSkip val="1"/>
        <c:noMultiLvlLbl val="0"/>
      </c:catAx>
      <c:valAx>
        <c:axId val="21408415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 rot="0" vert="horz"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428999" y="66674"/>
      <a:ext cx="5248274" cy="3109912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7</xdr:col>
      <xdr:colOff>47623</xdr:colOff>
      <xdr:row>0</xdr:row>
      <xdr:rowOff>38098</xdr:rowOff>
    </xdr:from>
    <xdr:to>
      <xdr:col>17</xdr:col>
      <xdr:colOff>104774</xdr:colOff>
      <xdr:row>29</xdr:row>
      <xdr:rowOff>19048</xdr:rowOff>
    </xdr:to>
    <xdr:graphicFrame>
      <xdr:nvGraphicFramePr>
        <xdr:cNvPr id="1084330078" name=""/>
        <xdr:cNvGraphicFramePr>
          <a:graphicFrameLocks xmlns:a="http://schemas.openxmlformats.org/drawingml/2006/main"/>
        </xdr:cNvGraphicFramePr>
      </xdr:nvGraphicFramePr>
      <xdr:xfrm rot="0" flipH="0" flipV="0">
        <a:off x="6591299" y="38098"/>
        <a:ext cx="6153149" cy="52292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27</xdr:col>
      <xdr:colOff>161924</xdr:colOff>
      <xdr:row>0</xdr:row>
      <xdr:rowOff>38098</xdr:rowOff>
    </xdr:from>
    <xdr:to>
      <xdr:col>37</xdr:col>
      <xdr:colOff>219074</xdr:colOff>
      <xdr:row>29</xdr:row>
      <xdr:rowOff>19048</xdr:rowOff>
    </xdr:to>
    <xdr:graphicFrame>
      <xdr:nvGraphicFramePr>
        <xdr:cNvPr id="2109762445" name=""/>
        <xdr:cNvGraphicFramePr>
          <a:graphicFrameLocks xmlns:a="http://schemas.openxmlformats.org/drawingml/2006/main"/>
        </xdr:cNvGraphicFramePr>
      </xdr:nvGraphicFramePr>
      <xdr:xfrm rot="0" flipH="0" flipV="0">
        <a:off x="18897599" y="38098"/>
        <a:ext cx="6153149" cy="52292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17</xdr:col>
      <xdr:colOff>104774</xdr:colOff>
      <xdr:row>0</xdr:row>
      <xdr:rowOff>38098</xdr:rowOff>
    </xdr:from>
    <xdr:to>
      <xdr:col>27</xdr:col>
      <xdr:colOff>161924</xdr:colOff>
      <xdr:row>29</xdr:row>
      <xdr:rowOff>19048</xdr:rowOff>
    </xdr:to>
    <xdr:graphicFrame>
      <xdr:nvGraphicFramePr>
        <xdr:cNvPr id="1362697770" name=""/>
        <xdr:cNvGraphicFramePr>
          <a:graphicFrameLocks xmlns:a="http://schemas.openxmlformats.org/drawingml/2006/main"/>
        </xdr:cNvGraphicFramePr>
      </xdr:nvGraphicFramePr>
      <xdr:xfrm rot="0" flipH="0" flipV="0">
        <a:off x="12744449" y="38098"/>
        <a:ext cx="6153149" cy="52292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7</xdr:col>
      <xdr:colOff>47623</xdr:colOff>
      <xdr:row>29</xdr:row>
      <xdr:rowOff>19048</xdr:rowOff>
    </xdr:from>
    <xdr:to>
      <xdr:col>27</xdr:col>
      <xdr:colOff>19049</xdr:colOff>
      <xdr:row>50</xdr:row>
      <xdr:rowOff>9524</xdr:rowOff>
    </xdr:to>
    <xdr:graphicFrame>
      <xdr:nvGraphicFramePr>
        <xdr:cNvPr id="1165501644" name=""/>
        <xdr:cNvGraphicFramePr>
          <a:graphicFrameLocks xmlns:a="http://schemas.openxmlformats.org/drawingml/2006/main"/>
        </xdr:cNvGraphicFramePr>
      </xdr:nvGraphicFramePr>
      <xdr:xfrm rot="0" flipH="0" flipV="0">
        <a:off x="6591299" y="5267323"/>
        <a:ext cx="12163424" cy="37909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27</xdr:col>
      <xdr:colOff>19049</xdr:colOff>
      <xdr:row>29</xdr:row>
      <xdr:rowOff>19048</xdr:rowOff>
    </xdr:from>
    <xdr:to>
      <xdr:col>34</xdr:col>
      <xdr:colOff>304798</xdr:colOff>
      <xdr:row>50</xdr:row>
      <xdr:rowOff>9524</xdr:rowOff>
    </xdr:to>
    <xdr:graphicFrame>
      <xdr:nvGraphicFramePr>
        <xdr:cNvPr id="829150035" name=""/>
        <xdr:cNvGraphicFramePr>
          <a:graphicFrameLocks xmlns:a="http://schemas.openxmlformats.org/drawingml/2006/main"/>
        </xdr:cNvGraphicFramePr>
      </xdr:nvGraphicFramePr>
      <xdr:xfrm rot="0" flipH="0" flipV="0">
        <a:off x="18754724" y="5267323"/>
        <a:ext cx="4552949" cy="37909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4</xdr:col>
      <xdr:colOff>114299</xdr:colOff>
      <xdr:row>0</xdr:row>
      <xdr:rowOff>66673</xdr:rowOff>
    </xdr:from>
    <xdr:to>
      <xdr:col>12</xdr:col>
      <xdr:colOff>485774</xdr:colOff>
      <xdr:row>18</xdr:row>
      <xdr:rowOff>4762</xdr:rowOff>
    </xdr:to>
    <xdr:graphicFrame>
      <xdr:nvGraphicFramePr>
        <xdr:cNvPr id="1842940348" name=""/>
        <xdr:cNvGraphicFramePr>
          <a:graphicFrameLocks xmlns:a="http://schemas.openxmlformats.org/drawingml/2006/main"/>
        </xdr:cNvGraphicFramePr>
      </xdr:nvGraphicFramePr>
      <xdr:xfrm>
        <a:off x="3428999" y="66674"/>
        <a:ext cx="5248274" cy="3109912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52FA7C-63D6-74A7-8D8B-180D0CD860F0}" userId="user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12-03T16:35:38.28Z" personId="{1452FA7C-63D6-74A7-8D8B-180D0CD860F0}" id="{5D1DD697-3B31-24C3-D1FC-4F10BC94625B}" done="0">
    <text xml:space="preserve">heads/debug_profiling-0-g9390a36 with "ENVNAME=stylegan3_2_1_40_xpu"
exact pytorch version: 2.1.0.post3+cxx11.abi
</text>
  </threadedComment>
  <threadedComment ref="A11" dT="2025-04-01T10:59:07.03Z" personId="{1452FA7C-63D6-74A7-8D8B-180D0CD860F0}" id="{D300BCD4-AF64-1F2B-8C24-5B84F5440E4F}" done="0">
    <text xml:space="preserve">heads/debug_profiling-0-gd9c04ad
stylegan3_pytorch_2_3
</text>
  </threadedComment>
  <threadedComment ref="A14" dT="2025-04-01T09:08:33.34Z" personId="{1452FA7C-63D6-74A7-8D8B-180D0CD860F0}" id="{A01B7651-90D1-9D61-E5CA-ED6EEA98DA46}" done="0">
    <text xml:space="preserve">heads/debug_profiling-2.1-0-g37d3e93
ipex_2_1_40
VM instance
</text>
  </threadedComment>
  <threadedComment ref="A15" dT="2025-04-01T09:08:33.34Z" personId="{1452FA7C-63D6-74A7-8D8B-180D0CD860F0}" id="{9C780A3F-2882-4906-A15E-6397004551BF}" done="0">
    <text xml:space="preserve">heads/debug_profiling-0-gd9c04ad
ipex_2_3_110
VM instance
</text>
  </threadedComment>
  <threadedComment ref="A17" dT="2025-03-28T16:45:12.02Z" personId="{1452FA7C-63D6-74A7-8D8B-180D0CD860F0}" id="{1CB70762-CB98-18A3-8B23-8B0C43552DB3}" done="0">
    <text xml:space="preserve">heads/debug_profiling-0-gb9cee85 with "stylegan" environment
re-measure with current commit
</text>
  </threadedComment>
  <threadedComment ref="A19" dT="2025-04-01T10:58:41.53Z" personId="{1452FA7C-63D6-74A7-8D8B-180D0CD860F0}" id="{7ED0FFCC-B7DA-8554-413C-5373D5E862EB}" done="0">
    <text xml:space="preserve">heads/debug_profiling-0-gd9c04ad
stylegan3_pytorch_2_3
</text>
  </threadedComment>
  <threadedComment ref="A3" dT="2024-12-03T16:35:38.28Z" personId="{1452FA7C-63D6-74A7-8D8B-180D0CD860F0}" id="{D60FF92D-CD85-77A7-BAF7-B50E5A8F386D}" done="0">
    <text xml:space="preserve">heads/debug_profiling-0-gdab3304 with "ENVNAME=stylegan3_2_1_40_xpu"
re-measured current commit, with current GPU driver
</text>
  </threadedComment>
  <threadedComment ref="E24" dT="2024-12-03T17:44:41.53Z" personId="{1452FA7C-63D6-74A7-8D8B-180D0CD860F0}" id="{44FE1040-EA6E-1D7C-5CD3-EEAB189226D0}" done="1">
    <text xml:space="preserve">TODO try upgrading and re-measuring
</text>
  </threadedComment>
  <threadedComment ref="A4" dT="2024-12-03T16:35:38.28Z" personId="{1452FA7C-63D6-74A7-8D8B-180D0CD860F0}" id="{0A840647-343D-ECD8-EE73-9B5128B511C0}" done="0">
    <text xml:space="preserve">heads/debug_profiling-0-gdab3304 with "ENVNAME=stylegan3_2_3_110_xpu"
torch 2.3.1+cxx11.abi
</text>
  </threadedComment>
  <threadedComment ref="A5" dT="2024-12-03T16:08:51.51Z" personId="{1452FA7C-63D6-74A7-8D8B-180D0CD860F0}" id="{9885B1C3-AB22-94B7-30B7-E8A667F23725}" done="0">
    <text xml:space="preserve">9390a36a6b1ee05f376ece3fc065dfb77f459ded with "-O1" (which is in the commit)
on a VM instance on Intel Tiber Developer Cloud
</text>
  </threadedComment>
  <threadedComment ref="A6" dT="2025-04-01T09:07:41.05Z" personId="{1452FA7C-63D6-74A7-8D8B-180D0CD860F0}" id="{152CC54A-CC3F-A8E8-3020-50D37FDCC26A}" done="0">
    <text xml:space="preserve">heads/debug_profiling-2.1-0-g37d3e93
ipex_2_1_40
VM instance
</text>
  </threadedComment>
  <threadedComment ref="A7" dT="2025-04-01T09:07:41.05Z" personId="{1452FA7C-63D6-74A7-8D8B-180D0CD860F0}" id="{02D5EC6F-3679-B832-F9F8-3AF034DC73B7}" done="0">
    <text xml:space="preserve">heads/debug_profiling-0-gd9c04ad
ipex_2_3_110
VM instance
</text>
  </threadedComment>
  <threadedComment ref="A8" dT="2024-12-03T16:36:13.13Z" personId="{1452FA7C-63D6-74A7-8D8B-180D0CD860F0}" id="{07C5CB9B-011A-F201-BE01-B6ED5DCC747A}" done="0">
    <text xml:space="preserve">heads/debug_profiling-0-g9390a36 with "stylegan" environment
</text>
  </threadedComment>
  <threadedComment ref="A9" dT="2024-12-03T16:36:13.13Z" personId="{1452FA7C-63D6-74A7-8D8B-180D0CD860F0}" id="{3D18DD77-473E-3CE6-83E6-86E80A773716}" done="0">
    <text xml:space="preserve">heads/debug_profiling-0-gb9cee85 with "stylegan" environment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4-03T10:32:40.71Z" personId="{1452FA7C-63D6-74A7-8D8B-180D0CD860F0}" id="{80F3E044-5FFD-2CA2-6416-75190749A912}" done="0">
    <text xml:space="preserve">sg3-t gpu-hotspots 2.3.110 PVC
Apr 02 2025 21:10:41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4-12-03T16:35:38.28Z" personId="{1452FA7C-63D6-74A7-8D8B-180D0CD860F0}" id="{FBA8A04F-1144-D4CE-3955-9139357F1DF7}" done="0">
    <text xml:space="preserve">heads/debug_profiling-0-g9390a36 with "ENVNAME=stylegan3_2_1_40_xpu"
</text>
  </threadedComment>
  <threadedComment ref="A3" dT="2024-12-03T16:08:51.51Z" personId="{1452FA7C-63D6-74A7-8D8B-180D0CD860F0}" id="{49BA0359-1DD6-6E69-0623-10EC65534207}" done="0">
    <text xml:space="preserve">9390a36a6b1ee05f376ece3fc065dfb77f459ded with "-O1" (which is in the commit)
</text>
  </threadedComment>
  <threadedComment ref="A4" dT="2024-12-03T16:36:13.13Z" personId="{1452FA7C-63D6-74A7-8D8B-180D0CD860F0}" id="{71B80EF3-EE31-C54E-AB34-BCEA6BB0C751}" done="0">
    <text xml:space="preserve">heads/debug_profiling-0-g9390a36 with "stylegan" environment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drawing" Target="../drawings/drawing1.xml"/><Relationship  Id="rId4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drawing" Target="../drawings/drawing2.xml"/><Relationship  Id="rId4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19" zoomScale="100" workbookViewId="0">
      <selection activeCell="A1" activeCellId="0" sqref="A1"/>
    </sheetView>
  </sheetViews>
  <sheetFormatPr defaultRowHeight="14.25"/>
  <cols>
    <col customWidth="1" min="1" max="1" width="32.28125"/>
    <col customWidth="1" min="2" max="3" width="12.140625"/>
    <col customWidth="1" min="4" max="4" width="14.140625"/>
  </cols>
  <sheetData>
    <row r="1" ht="14.25">
      <c r="B1" t="s">
        <v>0</v>
      </c>
      <c r="C1" t="s">
        <v>1</v>
      </c>
      <c r="D1" t="s">
        <v>2</v>
      </c>
      <c r="E1" s="1" t="s">
        <v>3</v>
      </c>
    </row>
    <row r="2" ht="14.25">
      <c r="A2" t="s">
        <v>4</v>
      </c>
      <c r="B2" s="2">
        <v>7.4500000000000002</v>
      </c>
      <c r="C2" s="2">
        <v>10.01</v>
      </c>
      <c r="D2" s="2">
        <v>27.27</v>
      </c>
      <c r="E2" s="1" t="s">
        <v>5</v>
      </c>
    </row>
    <row r="3" ht="14.25">
      <c r="A3" s="3" t="s">
        <v>4</v>
      </c>
      <c r="B3" s="2">
        <v>7.2599999999999998</v>
      </c>
      <c r="C3" s="2">
        <v>9.9800000000000004</v>
      </c>
      <c r="D3" s="2">
        <v>27.23</v>
      </c>
      <c r="E3" s="1" t="s">
        <v>6</v>
      </c>
    </row>
    <row r="4" ht="14.25">
      <c r="A4" s="3" t="s">
        <v>7</v>
      </c>
      <c r="B4" s="2">
        <v>6.8300000000000001</v>
      </c>
      <c r="C4" s="2">
        <v>9.2899999999999991</v>
      </c>
      <c r="D4" s="2">
        <v>21.140000000000001</v>
      </c>
      <c r="E4" s="1" t="s">
        <v>8</v>
      </c>
    </row>
    <row r="5" ht="14.25">
      <c r="A5" t="s">
        <v>9</v>
      </c>
      <c r="B5" s="2">
        <v>6.4199999999999999</v>
      </c>
      <c r="C5" s="2">
        <v>14.91</v>
      </c>
      <c r="D5" s="2">
        <v>33.369999999999997</v>
      </c>
      <c r="E5" s="1" t="s">
        <v>10</v>
      </c>
    </row>
    <row r="6" ht="14.25">
      <c r="A6" s="4" t="s">
        <v>9</v>
      </c>
      <c r="B6" s="2">
        <v>6.2999999999999998</v>
      </c>
      <c r="C6" s="2">
        <v>14.550000000000001</v>
      </c>
      <c r="D6" s="2">
        <v>32.619999999999997</v>
      </c>
      <c r="E6" s="1" t="s">
        <v>11</v>
      </c>
    </row>
    <row r="7" ht="14.25">
      <c r="A7" s="4" t="s">
        <v>12</v>
      </c>
      <c r="B7" s="2">
        <v>6.4500000000000002</v>
      </c>
      <c r="C7" s="2">
        <v>14.51</v>
      </c>
      <c r="D7" s="2">
        <v>35.039999999999999</v>
      </c>
      <c r="E7" s="1" t="s">
        <v>13</v>
      </c>
    </row>
    <row r="8" ht="14.25">
      <c r="A8" t="s">
        <v>14</v>
      </c>
      <c r="B8" s="2">
        <v>11.9</v>
      </c>
      <c r="C8" s="2">
        <v>10.27</v>
      </c>
      <c r="D8" s="2">
        <v>20.829999999999998</v>
      </c>
      <c r="E8" s="1" t="s">
        <v>5</v>
      </c>
    </row>
    <row r="9" ht="14.25">
      <c r="A9" s="3" t="s">
        <v>14</v>
      </c>
      <c r="B9" s="2">
        <v>12.630000000000001</v>
      </c>
      <c r="C9" s="2">
        <v>10.9</v>
      </c>
      <c r="D9" s="2">
        <v>22.07</v>
      </c>
      <c r="E9" s="1" t="s">
        <v>15</v>
      </c>
    </row>
    <row r="10" ht="14.25">
      <c r="A10" s="4" t="s">
        <v>16</v>
      </c>
      <c r="B10" s="2">
        <v>13.859999999999999</v>
      </c>
      <c r="C10" s="2">
        <v>7.04</v>
      </c>
      <c r="D10" s="2">
        <v>36.68</v>
      </c>
      <c r="E10" s="1" t="s">
        <v>17</v>
      </c>
    </row>
    <row r="11" ht="14.25">
      <c r="A11" s="4" t="s">
        <v>18</v>
      </c>
      <c r="B11" s="2">
        <v>14.84</v>
      </c>
      <c r="C11" s="2">
        <v>7.5999999999999996</v>
      </c>
      <c r="D11" s="2">
        <v>38.200000000000003</v>
      </c>
      <c r="E11" s="1" t="s">
        <v>19</v>
      </c>
    </row>
    <row r="12" ht="14.25">
      <c r="A12" s="4" t="s">
        <v>20</v>
      </c>
      <c r="B12" s="2">
        <v>1.01</v>
      </c>
      <c r="C12" s="2">
        <v>1.77</v>
      </c>
      <c r="D12" s="2">
        <v>24.52</v>
      </c>
      <c r="E12" s="1" t="s">
        <v>5</v>
      </c>
    </row>
    <row r="13" ht="14.25">
      <c r="A13" s="4" t="s">
        <v>21</v>
      </c>
      <c r="B13" s="2">
        <v>1.01</v>
      </c>
      <c r="C13" s="2">
        <v>1.75</v>
      </c>
      <c r="D13" s="2">
        <v>20.690000000000001</v>
      </c>
      <c r="E13" s="1" t="s">
        <v>22</v>
      </c>
    </row>
    <row r="14" ht="14.25">
      <c r="A14" s="4" t="s">
        <v>23</v>
      </c>
      <c r="B14" s="2">
        <v>1.8600000000000001</v>
      </c>
      <c r="C14" s="2">
        <v>3.1099999999999999</v>
      </c>
      <c r="D14" s="2">
        <v>34.75</v>
      </c>
      <c r="E14" s="1" t="s">
        <v>24</v>
      </c>
    </row>
    <row r="15" ht="14.25">
      <c r="A15" s="4" t="s">
        <v>25</v>
      </c>
      <c r="B15" s="2">
        <v>1.8600000000000001</v>
      </c>
      <c r="C15" s="2">
        <v>3.1099999999999999</v>
      </c>
      <c r="D15" s="2">
        <v>36.380000000000003</v>
      </c>
      <c r="E15" s="1" t="s">
        <v>26</v>
      </c>
    </row>
    <row r="16" ht="14.25">
      <c r="A16" s="4" t="s">
        <v>27</v>
      </c>
      <c r="B16" s="2">
        <v>0.23999999999999999</v>
      </c>
      <c r="C16" s="2">
        <v>0.92000000000000004</v>
      </c>
      <c r="D16" s="2">
        <v>15.130000000000001</v>
      </c>
      <c r="E16" s="1" t="s">
        <v>5</v>
      </c>
    </row>
    <row r="17" ht="14.25">
      <c r="A17" s="4" t="s">
        <v>27</v>
      </c>
      <c r="B17" s="2">
        <v>0.26000000000000001</v>
      </c>
      <c r="C17" s="2">
        <v>0.96999999999999997</v>
      </c>
      <c r="D17" s="2">
        <v>16.02</v>
      </c>
      <c r="E17" s="1" t="s">
        <v>28</v>
      </c>
    </row>
    <row r="18" ht="14.25">
      <c r="A18" t="s">
        <v>29</v>
      </c>
      <c r="B18" s="2">
        <v>0.23000000000000001</v>
      </c>
      <c r="C18" s="2">
        <v>0.81999999999999995</v>
      </c>
      <c r="D18" s="2">
        <v>22.699999999999999</v>
      </c>
      <c r="E18" s="1" t="s">
        <v>17</v>
      </c>
    </row>
    <row r="19" ht="14.25">
      <c r="A19" s="3" t="s">
        <v>30</v>
      </c>
      <c r="B19" s="2">
        <v>0.27000000000000002</v>
      </c>
      <c r="C19" s="2">
        <v>0.94999999999999996</v>
      </c>
      <c r="D19" s="2">
        <v>25.140000000000001</v>
      </c>
      <c r="E19" s="1" t="s">
        <v>31</v>
      </c>
    </row>
    <row r="21" ht="14.25">
      <c r="A21" t="s">
        <v>32</v>
      </c>
    </row>
    <row r="22" ht="14.25"/>
    <row r="23" ht="14.25">
      <c r="C23" t="s">
        <v>33</v>
      </c>
      <c r="D23" t="s">
        <v>34</v>
      </c>
      <c r="E23" t="s">
        <v>35</v>
      </c>
    </row>
    <row r="24" ht="14.25">
      <c r="A24" t="s">
        <v>36</v>
      </c>
      <c r="B24" t="s">
        <v>37</v>
      </c>
      <c r="C24" t="s">
        <v>38</v>
      </c>
      <c r="D24" s="4" t="s">
        <v>39</v>
      </c>
      <c r="E24" t="s">
        <v>40</v>
      </c>
    </row>
    <row r="25" ht="14.25">
      <c r="B25" t="s">
        <v>41</v>
      </c>
      <c r="C25" t="s">
        <v>42</v>
      </c>
      <c r="D25" t="s">
        <v>43</v>
      </c>
      <c r="E25" t="s">
        <v>44</v>
      </c>
    </row>
    <row r="26" ht="14.25">
      <c r="B26" t="s">
        <v>45</v>
      </c>
      <c r="C26" t="s">
        <v>46</v>
      </c>
      <c r="D26" t="s">
        <v>43</v>
      </c>
      <c r="E26" s="4" t="s">
        <v>47</v>
      </c>
    </row>
    <row r="27" ht="14.25"/>
    <row r="28" ht="14.25"/>
    <row r="29" ht="14.25"/>
    <row r="30" ht="14.25"/>
    <row r="31" ht="14.25">
      <c r="A31" t="s">
        <v>48</v>
      </c>
    </row>
    <row r="32" ht="14.25">
      <c r="C32" t="str">
        <f>C1</f>
        <v>stylegan3-t</v>
      </c>
    </row>
    <row r="33" ht="14.25">
      <c r="A33" s="4" t="s">
        <v>49</v>
      </c>
      <c r="C33" s="5">
        <f t="shared" ref="C33:C34" si="0">C8/C16</f>
        <v>11.163043478260869</v>
      </c>
    </row>
    <row r="34" ht="14.25">
      <c r="A34" t="s">
        <v>49</v>
      </c>
      <c r="C34" s="5">
        <f t="shared" si="0"/>
        <v>11.237113402061857</v>
      </c>
      <c r="D34" s="4" t="s">
        <v>50</v>
      </c>
    </row>
    <row r="35" ht="14.25">
      <c r="A35" s="3" t="s">
        <v>51</v>
      </c>
      <c r="C35" s="5">
        <f t="shared" ref="C35:C36" si="1">C10/C18</f>
        <v>8.5853658536585371</v>
      </c>
    </row>
    <row r="36" ht="14.25">
      <c r="A36" s="3" t="s">
        <v>52</v>
      </c>
      <c r="C36" s="5">
        <f t="shared" si="1"/>
        <v>8</v>
      </c>
    </row>
    <row r="37" ht="14.25">
      <c r="A37" t="s">
        <v>53</v>
      </c>
      <c r="C37" s="5">
        <f>C2/C12</f>
        <v>5.6553672316384178</v>
      </c>
    </row>
    <row r="38" ht="14.25">
      <c r="A38" s="3" t="s">
        <v>54</v>
      </c>
      <c r="C38" s="5">
        <f>C4/C13</f>
        <v>5.3085714285714278</v>
      </c>
      <c r="D38" t="s">
        <v>55</v>
      </c>
    </row>
    <row r="39" ht="14.25">
      <c r="A39" s="3" t="s">
        <v>56</v>
      </c>
      <c r="C39" s="5">
        <f t="shared" ref="C39:C40" si="2">C6/C14</f>
        <v>4.6784565916398719</v>
      </c>
      <c r="D39" s="4"/>
    </row>
    <row r="40" ht="14.25">
      <c r="A40" s="3" t="s">
        <v>57</v>
      </c>
      <c r="C40" s="5">
        <f t="shared" si="2"/>
        <v>4.665594855305466</v>
      </c>
      <c r="D40" s="4" t="s">
        <v>58</v>
      </c>
    </row>
    <row r="41" ht="14.25">
      <c r="C41" s="5"/>
    </row>
    <row r="42" ht="14.25">
      <c r="A42" t="s">
        <v>59</v>
      </c>
      <c r="C42" s="5">
        <f>C12/C16</f>
        <v>1.9239130434782608</v>
      </c>
    </row>
    <row r="43" ht="14.25">
      <c r="A43" s="4" t="s">
        <v>60</v>
      </c>
      <c r="C43" s="5">
        <f>C12/C18</f>
        <v>2.1585365853658538</v>
      </c>
    </row>
    <row r="44" ht="14.25"/>
    <row r="52" ht="14.25">
      <c r="H52" t="s">
        <v>61</v>
      </c>
    </row>
    <row r="53" ht="14.25">
      <c r="H53" t="s">
        <v>62</v>
      </c>
    </row>
    <row r="54" ht="14.25">
      <c r="H54" t="s">
        <v>63</v>
      </c>
    </row>
    <row r="55" ht="14.25">
      <c r="H55" t="s">
        <v>64</v>
      </c>
    </row>
    <row r="56" ht="14.25">
      <c r="H56" t="s">
        <v>65</v>
      </c>
    </row>
    <row r="57" ht="14.25">
      <c r="H57" t="s">
        <v>66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xSplit="1" ySplit="1" topLeftCell="B2" activePane="bottomRight" state="frozen"/>
      <selection activeCell="A1" activeCellId="0" sqref="A1"/>
    </sheetView>
  </sheetViews>
  <sheetFormatPr defaultRowHeight="15"/>
  <cols>
    <col customWidth="1" min="1" max="1" width="44.421875"/>
    <col bestFit="1" min="2" max="2" style="6" width="9.7109375"/>
    <col bestFit="1" min="3" max="3" width="12.140625"/>
    <col bestFit="1" min="4" max="4" width="13.7109375"/>
    <col bestFit="1" min="5" max="5" width="5.28125"/>
    <col bestFit="1" min="6" max="6" width="12.00390625"/>
    <col bestFit="1" min="7" max="8" width="6.8515625"/>
    <col bestFit="1" min="9" max="9" width="7.8515625"/>
    <col bestFit="1" min="10" max="10" width="21.140625"/>
    <col bestFit="1" min="11" max="11" width="24.28125"/>
    <col bestFit="1" min="12" max="13" width="18.8515625"/>
    <col bestFit="1" min="14" max="14" width="10.421875"/>
    <col bestFit="1" min="15" max="15" width="12.140625"/>
    <col bestFit="1" min="16" max="18" width="10.421875"/>
    <col bestFit="1" min="19" max="19" width="15.7109375"/>
    <col bestFit="1" min="20" max="20" width="17.8515625"/>
    <col bestFit="1" min="21" max="21" width="16.00390625"/>
    <col bestFit="1" min="22" max="22" width="15.7109375"/>
    <col bestFit="1" min="23" max="23" width="15.57421875"/>
    <col bestFit="1" min="24" max="24" width="7.8515625"/>
    <col bestFit="1" min="25" max="26" width="7.28125"/>
    <col bestFit="1" min="27" max="27" width="6.28125"/>
    <col bestFit="1" min="28" max="28" width="11.421875"/>
    <col bestFit="1" min="29" max="29" width="11.7109375"/>
    <col bestFit="1" min="30" max="30" style="7" width="12.00390625"/>
    <col bestFit="1" min="31" max="31" width="9.421875"/>
    <col bestFit="1" min="32" max="32" width="13.140625"/>
    <col bestFit="1" min="33" max="33" width="7.140625"/>
    <col bestFit="1" min="34" max="34" width="12.00390625"/>
    <col bestFit="1" min="35" max="35" width="15.7109375"/>
    <col bestFit="1" min="36" max="36" width="9.7109375"/>
  </cols>
  <sheetData>
    <row r="1">
      <c r="A1" t="s">
        <v>67</v>
      </c>
      <c r="B1" s="6" t="s">
        <v>68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85</v>
      </c>
      <c r="T1" t="s">
        <v>86</v>
      </c>
      <c r="U1" t="s">
        <v>87</v>
      </c>
      <c r="V1" t="s">
        <v>88</v>
      </c>
      <c r="W1" t="s">
        <v>89</v>
      </c>
      <c r="X1" t="s">
        <v>90</v>
      </c>
      <c r="Y1" t="s">
        <v>91</v>
      </c>
      <c r="Z1" t="s">
        <v>90</v>
      </c>
      <c r="AA1" t="s">
        <v>91</v>
      </c>
      <c r="AB1" t="s">
        <v>92</v>
      </c>
      <c r="AC1" t="s">
        <v>93</v>
      </c>
      <c r="AD1" s="7" t="s">
        <v>94</v>
      </c>
      <c r="AE1" t="s">
        <v>95</v>
      </c>
      <c r="AF1" t="s">
        <v>96</v>
      </c>
      <c r="AG1" t="s">
        <v>97</v>
      </c>
      <c r="AH1" t="s">
        <v>98</v>
      </c>
      <c r="AI1" t="s">
        <v>99</v>
      </c>
      <c r="AJ1" t="s">
        <v>100</v>
      </c>
    </row>
    <row r="2">
      <c r="A2" t="s">
        <v>101</v>
      </c>
      <c r="B2" s="6" t="s">
        <v>102</v>
      </c>
      <c r="C2" t="s">
        <v>103</v>
      </c>
      <c r="D2">
        <v>0</v>
      </c>
      <c r="E2" t="s">
        <v>104</v>
      </c>
      <c r="F2">
        <v>0</v>
      </c>
      <c r="G2" s="8">
        <v>0.001</v>
      </c>
      <c r="H2" s="8">
        <v>0.001</v>
      </c>
      <c r="I2" s="8">
        <v>0.997</v>
      </c>
      <c r="J2" s="8">
        <v>0.002</v>
      </c>
      <c r="K2" s="9">
        <v>81358429</v>
      </c>
      <c r="L2" s="8">
        <v>0</v>
      </c>
      <c r="M2" s="10">
        <v>0</v>
      </c>
      <c r="N2" s="8">
        <v>0</v>
      </c>
      <c r="O2" s="8">
        <v>0</v>
      </c>
      <c r="P2" s="8">
        <v>0.001</v>
      </c>
      <c r="Q2" s="8">
        <v>0.001</v>
      </c>
      <c r="R2" s="10">
        <v>0</v>
      </c>
      <c r="S2" s="9">
        <v>14375973466</v>
      </c>
      <c r="T2" s="9">
        <v>2632905879</v>
      </c>
      <c r="U2" s="9">
        <v>80231520867</v>
      </c>
      <c r="V2" s="9">
        <v>58102712209</v>
      </c>
      <c r="W2" s="9">
        <v>1907064</v>
      </c>
      <c r="X2">
        <v>2.5750000000000002</v>
      </c>
      <c r="Y2">
        <v>1.155</v>
      </c>
      <c r="Z2">
        <v>0.48399999999999999</v>
      </c>
      <c r="AA2">
        <v>0.73499999999999999</v>
      </c>
      <c r="AB2" s="9">
        <v>112471205</v>
      </c>
      <c r="AC2">
        <v>0</v>
      </c>
      <c r="AD2" s="11">
        <f>0+SUBSTITUTE(B2,"s","")</f>
        <v>0</v>
      </c>
      <c r="AG2">
        <f>1-AE2-AF2</f>
        <v>1</v>
      </c>
      <c r="AH2">
        <f>AE2*$AD2</f>
        <v>0</v>
      </c>
      <c r="AI2">
        <f>AF2*$AD2</f>
        <v>0</v>
      </c>
      <c r="AJ2">
        <f>AG2*$AD2</f>
        <v>0</v>
      </c>
    </row>
    <row r="3" s="12" customFormat="1">
      <c r="A3" s="12" t="s">
        <v>105</v>
      </c>
      <c r="B3" s="13" t="s">
        <v>106</v>
      </c>
      <c r="C3" s="12" t="s">
        <v>107</v>
      </c>
      <c r="D3" s="12">
        <v>2</v>
      </c>
      <c r="E3" s="12" t="s">
        <v>104</v>
      </c>
      <c r="F3" s="12">
        <v>0</v>
      </c>
      <c r="G3" s="14">
        <v>0</v>
      </c>
      <c r="H3" s="14">
        <v>0</v>
      </c>
      <c r="I3" s="14">
        <v>1</v>
      </c>
      <c r="J3" s="14">
        <v>0</v>
      </c>
      <c r="K3" s="15">
        <v>0</v>
      </c>
      <c r="L3" s="14">
        <v>0</v>
      </c>
      <c r="M3" s="16">
        <v>0</v>
      </c>
      <c r="N3" s="14">
        <v>0</v>
      </c>
      <c r="O3" s="14">
        <v>0</v>
      </c>
      <c r="P3" s="14">
        <v>0</v>
      </c>
      <c r="Q3" s="14">
        <v>0</v>
      </c>
      <c r="R3" s="16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2">
        <v>0</v>
      </c>
      <c r="Y3" s="12">
        <v>0</v>
      </c>
      <c r="Z3" s="12">
        <v>0</v>
      </c>
      <c r="AA3" s="12">
        <v>0</v>
      </c>
      <c r="AB3" s="15">
        <v>0</v>
      </c>
      <c r="AC3" s="12">
        <v>0</v>
      </c>
      <c r="AD3" s="11">
        <f>0+SUBSTITUTE(B3,"s","")</f>
        <v>0</v>
      </c>
      <c r="AE3" s="12">
        <v>1</v>
      </c>
      <c r="AG3">
        <f>1-AE3-AF3</f>
        <v>0</v>
      </c>
      <c r="AH3">
        <f>AE3*$AD3</f>
        <v>0</v>
      </c>
      <c r="AI3">
        <f>AF3*$AD3</f>
        <v>0</v>
      </c>
      <c r="AJ3">
        <f>AG3*$AD3</f>
        <v>0</v>
      </c>
    </row>
    <row r="4">
      <c r="A4" t="s">
        <v>108</v>
      </c>
      <c r="B4" s="6" t="s">
        <v>109</v>
      </c>
      <c r="C4" t="s">
        <v>110</v>
      </c>
      <c r="D4" s="9">
        <v>2904</v>
      </c>
      <c r="E4" t="s">
        <v>104</v>
      </c>
      <c r="F4">
        <v>0</v>
      </c>
      <c r="G4" s="8">
        <v>0.30199999999999999</v>
      </c>
      <c r="H4" s="8">
        <v>0.20699999999999999</v>
      </c>
      <c r="I4" s="8">
        <v>0.49099999999999999</v>
      </c>
      <c r="J4" s="8">
        <v>0.45700000000000002</v>
      </c>
      <c r="K4" s="9">
        <v>30705047</v>
      </c>
      <c r="L4" s="8">
        <v>0.057999999999999996</v>
      </c>
      <c r="M4" s="10">
        <v>0</v>
      </c>
      <c r="N4" s="8">
        <v>0.013000000000000001</v>
      </c>
      <c r="O4" s="8">
        <v>0.001</v>
      </c>
      <c r="P4" s="8">
        <v>0.24100000000000002</v>
      </c>
      <c r="Q4" s="8">
        <v>0.115</v>
      </c>
      <c r="R4" s="10">
        <v>0</v>
      </c>
      <c r="S4" s="9">
        <v>2153439372</v>
      </c>
      <c r="T4" s="9">
        <v>135509549</v>
      </c>
      <c r="U4" s="9">
        <v>39315030444</v>
      </c>
      <c r="V4" s="9">
        <v>18699802729</v>
      </c>
      <c r="W4">
        <v>0</v>
      </c>
      <c r="X4">
        <v>374.69600000000003</v>
      </c>
      <c r="Y4">
        <v>132.91999999999999</v>
      </c>
      <c r="Z4">
        <v>93.299999999999997</v>
      </c>
      <c r="AA4">
        <v>48.078000000000003</v>
      </c>
      <c r="AB4" s="9">
        <v>249728</v>
      </c>
      <c r="AC4">
        <v>0</v>
      </c>
      <c r="AD4" s="11">
        <f>0+SUBSTITUTE(B4,"s","")</f>
        <v>0.24199999999999999</v>
      </c>
      <c r="AG4">
        <f>1-AE4-AF4</f>
        <v>1</v>
      </c>
      <c r="AH4">
        <f>AE4*$AD4</f>
        <v>0</v>
      </c>
      <c r="AI4">
        <f>AF4*$AD4</f>
        <v>0</v>
      </c>
      <c r="AJ4">
        <f>AG4*$AD4</f>
        <v>0.24199999999999999</v>
      </c>
    </row>
    <row r="5">
      <c r="A5" t="s">
        <v>111</v>
      </c>
      <c r="B5" s="6" t="s">
        <v>106</v>
      </c>
      <c r="C5" t="s">
        <v>112</v>
      </c>
      <c r="D5">
        <v>132</v>
      </c>
      <c r="E5" t="s">
        <v>104</v>
      </c>
      <c r="F5">
        <v>0</v>
      </c>
      <c r="G5" s="8">
        <v>0</v>
      </c>
      <c r="H5" s="8">
        <v>0</v>
      </c>
      <c r="I5" s="8">
        <v>1</v>
      </c>
      <c r="J5" s="8">
        <v>0</v>
      </c>
      <c r="K5" s="9">
        <v>0</v>
      </c>
      <c r="L5" s="8">
        <v>0</v>
      </c>
      <c r="M5" s="10">
        <v>0</v>
      </c>
      <c r="N5" s="10">
        <v>0</v>
      </c>
      <c r="O5" s="8">
        <v>0</v>
      </c>
      <c r="P5" s="8">
        <v>0</v>
      </c>
      <c r="Q5" s="10">
        <v>0</v>
      </c>
      <c r="R5" s="10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>
        <v>0</v>
      </c>
      <c r="Y5">
        <v>0</v>
      </c>
      <c r="Z5">
        <v>0</v>
      </c>
      <c r="AA5">
        <v>0</v>
      </c>
      <c r="AB5" s="9">
        <v>0</v>
      </c>
      <c r="AC5">
        <v>0</v>
      </c>
      <c r="AD5" s="11">
        <f>0+SUBSTITUTE(B5,"s","")</f>
        <v>0</v>
      </c>
      <c r="AG5">
        <f>1-AE5-AF5</f>
        <v>1</v>
      </c>
      <c r="AH5">
        <f>AE5*$AD5</f>
        <v>0</v>
      </c>
      <c r="AI5">
        <f>AF5*$AD5</f>
        <v>0</v>
      </c>
      <c r="AJ5">
        <f>AG5*$AD5</f>
        <v>0</v>
      </c>
    </row>
    <row r="6">
      <c r="A6" t="s">
        <v>113</v>
      </c>
      <c r="B6" s="6" t="s">
        <v>106</v>
      </c>
      <c r="C6" t="s">
        <v>114</v>
      </c>
      <c r="D6">
        <v>66</v>
      </c>
      <c r="E6" t="s">
        <v>104</v>
      </c>
      <c r="F6">
        <v>0</v>
      </c>
      <c r="G6" s="10">
        <v>0</v>
      </c>
      <c r="H6" s="10">
        <v>0</v>
      </c>
      <c r="I6" s="10">
        <v>1</v>
      </c>
      <c r="J6" s="10">
        <v>0</v>
      </c>
      <c r="K6">
        <v>49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9">
        <v>1343</v>
      </c>
      <c r="T6">
        <v>443</v>
      </c>
      <c r="U6" s="9">
        <v>2457</v>
      </c>
      <c r="V6" s="9">
        <v>6999</v>
      </c>
      <c r="W6">
        <v>0</v>
      </c>
      <c r="X6">
        <v>0.248</v>
      </c>
      <c r="Y6">
        <v>0.035999999999999997</v>
      </c>
      <c r="Z6">
        <v>0.53400000000000003</v>
      </c>
      <c r="AA6">
        <v>0.28699999999999998</v>
      </c>
      <c r="AB6">
        <v>96</v>
      </c>
      <c r="AC6">
        <v>0</v>
      </c>
      <c r="AD6" s="11">
        <f>0+SUBSTITUTE(B6,"s","")</f>
        <v>0</v>
      </c>
      <c r="AG6">
        <f>1-AE6-AF6</f>
        <v>1</v>
      </c>
      <c r="AH6">
        <f>AE6*$AD6</f>
        <v>0</v>
      </c>
      <c r="AI6">
        <f>AF6*$AD6</f>
        <v>0</v>
      </c>
      <c r="AJ6">
        <f>AG6*$AD6</f>
        <v>0</v>
      </c>
    </row>
    <row r="7">
      <c r="A7" t="s">
        <v>115</v>
      </c>
      <c r="B7" s="6" t="s">
        <v>116</v>
      </c>
      <c r="C7" t="s">
        <v>117</v>
      </c>
      <c r="D7" s="9">
        <v>4753</v>
      </c>
      <c r="E7" t="s">
        <v>104</v>
      </c>
      <c r="F7">
        <v>0</v>
      </c>
      <c r="G7" s="10">
        <v>0.034000000000000002</v>
      </c>
      <c r="H7" s="10">
        <v>0.050000000000000003</v>
      </c>
      <c r="I7" s="10">
        <v>0.91599999999999993</v>
      </c>
      <c r="J7" s="10">
        <v>0.068000000000000005</v>
      </c>
      <c r="K7" s="9">
        <v>2285894</v>
      </c>
      <c r="L7" s="10">
        <v>0.001</v>
      </c>
      <c r="M7" s="10">
        <v>0</v>
      </c>
      <c r="N7" s="10">
        <v>0.0050000000000000001</v>
      </c>
      <c r="O7" s="10">
        <v>0.001</v>
      </c>
      <c r="P7" s="10">
        <v>0.0050000000000000001</v>
      </c>
      <c r="Q7" s="10">
        <v>0.027999999999999997</v>
      </c>
      <c r="R7" s="10">
        <v>0</v>
      </c>
      <c r="S7" s="9">
        <v>158746076</v>
      </c>
      <c r="T7" s="9">
        <v>35459544</v>
      </c>
      <c r="U7" s="9">
        <v>152360436</v>
      </c>
      <c r="V7" s="9">
        <v>937047387</v>
      </c>
      <c r="W7" s="9">
        <v>4724</v>
      </c>
      <c r="X7">
        <v>67.802999999999997</v>
      </c>
      <c r="Y7">
        <v>38.603000000000002</v>
      </c>
      <c r="Z7">
        <v>13.045999999999999</v>
      </c>
      <c r="AA7">
        <v>18.559999999999999</v>
      </c>
      <c r="AB7" s="9">
        <v>202229</v>
      </c>
      <c r="AC7">
        <v>0</v>
      </c>
      <c r="AD7" s="11">
        <f>0+SUBSTITUTE(B7,"s","")</f>
        <v>0.050000000000000003</v>
      </c>
      <c r="AG7">
        <f>1-AE7-AF7</f>
        <v>1</v>
      </c>
      <c r="AH7">
        <f>AE7*$AD7</f>
        <v>0</v>
      </c>
      <c r="AI7">
        <f>AF7*$AD7</f>
        <v>0</v>
      </c>
      <c r="AJ7">
        <f>AG7*$AD7</f>
        <v>0.050000000000000003</v>
      </c>
    </row>
    <row r="8">
      <c r="A8" t="s">
        <v>118</v>
      </c>
      <c r="B8" s="6" t="s">
        <v>119</v>
      </c>
      <c r="C8" t="s">
        <v>112</v>
      </c>
      <c r="D8">
        <v>264</v>
      </c>
      <c r="E8" t="s">
        <v>104</v>
      </c>
      <c r="F8">
        <v>0</v>
      </c>
      <c r="G8" s="10">
        <v>0</v>
      </c>
      <c r="H8" s="8">
        <v>0.001</v>
      </c>
      <c r="I8" s="8">
        <v>0.99900000000000011</v>
      </c>
      <c r="J8" s="10">
        <v>0</v>
      </c>
      <c r="K8">
        <v>326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9">
        <v>5110</v>
      </c>
      <c r="T8" s="9">
        <v>3218</v>
      </c>
      <c r="U8" s="9">
        <v>10760</v>
      </c>
      <c r="V8" s="9">
        <v>37432</v>
      </c>
      <c r="W8">
        <v>0</v>
      </c>
      <c r="X8">
        <v>0.89200000000000002</v>
      </c>
      <c r="Y8">
        <v>0.053999999999999999</v>
      </c>
      <c r="Z8">
        <v>0.68200000000000005</v>
      </c>
      <c r="AA8">
        <v>0.33500000000000002</v>
      </c>
      <c r="AB8">
        <v>192</v>
      </c>
      <c r="AC8">
        <v>0</v>
      </c>
      <c r="AD8" s="11">
        <f>0+SUBSTITUTE(B8,"s","")</f>
        <v>0.001</v>
      </c>
      <c r="AG8">
        <f>1-AE8-AF8</f>
        <v>1</v>
      </c>
      <c r="AH8">
        <f>AE8*$AD8</f>
        <v>0</v>
      </c>
      <c r="AI8">
        <f>AF8*$AD8</f>
        <v>0</v>
      </c>
      <c r="AJ8">
        <f>AG8*$AD8</f>
        <v>0.001</v>
      </c>
    </row>
    <row r="9">
      <c r="A9" t="s">
        <v>120</v>
      </c>
      <c r="B9" s="6" t="s">
        <v>121</v>
      </c>
      <c r="C9" t="s">
        <v>122</v>
      </c>
      <c r="D9">
        <v>265</v>
      </c>
      <c r="E9" t="s">
        <v>104</v>
      </c>
      <c r="F9">
        <v>0</v>
      </c>
      <c r="G9" s="8">
        <v>0.032000000000000001</v>
      </c>
      <c r="H9" s="8">
        <v>0.036000000000000004</v>
      </c>
      <c r="I9" s="8">
        <v>0.93200000000000005</v>
      </c>
      <c r="J9" s="8">
        <v>0.057999999999999996</v>
      </c>
      <c r="K9" s="9">
        <v>178194</v>
      </c>
      <c r="L9" s="8">
        <v>0.001</v>
      </c>
      <c r="M9" s="10">
        <v>0</v>
      </c>
      <c r="N9" s="8">
        <v>0.0040000000000000001</v>
      </c>
      <c r="O9" s="8">
        <v>0.001</v>
      </c>
      <c r="P9" s="8">
        <v>0.002</v>
      </c>
      <c r="Q9" s="8">
        <v>0.028999999999999998</v>
      </c>
      <c r="R9" s="10">
        <v>0</v>
      </c>
      <c r="S9" s="9">
        <v>16091048</v>
      </c>
      <c r="T9" s="9">
        <v>3841682</v>
      </c>
      <c r="U9" s="9">
        <v>5706129</v>
      </c>
      <c r="V9" s="9">
        <v>104222359</v>
      </c>
      <c r="W9">
        <v>0</v>
      </c>
      <c r="X9">
        <v>97.647999999999996</v>
      </c>
      <c r="Y9">
        <v>62.136000000000003</v>
      </c>
      <c r="Z9">
        <v>9.9960000000000004</v>
      </c>
      <c r="AA9">
        <v>32.813000000000002</v>
      </c>
      <c r="AB9" s="9">
        <v>1728</v>
      </c>
      <c r="AC9">
        <v>0</v>
      </c>
      <c r="AD9" s="11">
        <f>0+SUBSTITUTE(B9,"s","")</f>
        <v>0.0030000000000000001</v>
      </c>
      <c r="AG9">
        <f>1-AE9-AF9</f>
        <v>1</v>
      </c>
      <c r="AH9">
        <f>AE9*$AD9</f>
        <v>0</v>
      </c>
      <c r="AI9">
        <f>AF9*$AD9</f>
        <v>0</v>
      </c>
      <c r="AJ9">
        <f>AG9*$AD9</f>
        <v>0.0030000000000000001</v>
      </c>
    </row>
    <row r="10">
      <c r="A10" t="s">
        <v>123</v>
      </c>
      <c r="B10" s="6" t="s">
        <v>124</v>
      </c>
      <c r="C10" t="s">
        <v>117</v>
      </c>
      <c r="D10" s="9">
        <v>1520</v>
      </c>
      <c r="E10" t="s">
        <v>104</v>
      </c>
      <c r="F10">
        <v>0</v>
      </c>
      <c r="G10" s="8">
        <v>0.018000000000000002</v>
      </c>
      <c r="H10" s="8">
        <v>0.027999999999999997</v>
      </c>
      <c r="I10" s="8">
        <v>0.95299999999999996</v>
      </c>
      <c r="J10" s="8">
        <v>0.033000000000000002</v>
      </c>
      <c r="K10" s="9">
        <v>419690</v>
      </c>
      <c r="L10" s="8">
        <v>0.001</v>
      </c>
      <c r="M10" s="10">
        <v>0</v>
      </c>
      <c r="N10" s="8">
        <v>0.002</v>
      </c>
      <c r="O10" s="8">
        <v>0.001</v>
      </c>
      <c r="P10" s="8">
        <v>0.0080000000000000002</v>
      </c>
      <c r="Q10" s="10">
        <v>0.01</v>
      </c>
      <c r="R10" s="10">
        <v>0</v>
      </c>
      <c r="S10" s="9">
        <v>17405921</v>
      </c>
      <c r="T10" s="9">
        <v>6067092</v>
      </c>
      <c r="U10" s="9">
        <v>83455116</v>
      </c>
      <c r="V10" s="9">
        <v>105216702</v>
      </c>
      <c r="W10" s="9">
        <v>3553</v>
      </c>
      <c r="X10">
        <v>33.719999999999999</v>
      </c>
      <c r="Y10">
        <v>15.419</v>
      </c>
      <c r="Z10">
        <v>2.3100000000000001</v>
      </c>
      <c r="AA10">
        <v>10.742000000000001</v>
      </c>
      <c r="AB10" s="9">
        <v>91992</v>
      </c>
      <c r="AC10">
        <v>0</v>
      </c>
      <c r="AD10" s="11">
        <f>0+SUBSTITUTE(B10,"s","")</f>
        <v>0.016</v>
      </c>
      <c r="AG10">
        <f>1-AE10-AF10</f>
        <v>1</v>
      </c>
      <c r="AH10">
        <f>AE10*$AD10</f>
        <v>0</v>
      </c>
      <c r="AI10">
        <f>AF10*$AD10</f>
        <v>0</v>
      </c>
      <c r="AJ10">
        <f>AG10*$AD10</f>
        <v>0.016</v>
      </c>
    </row>
    <row r="11">
      <c r="A11" t="s">
        <v>125</v>
      </c>
      <c r="B11" s="6" t="s">
        <v>126</v>
      </c>
      <c r="C11" t="s">
        <v>127</v>
      </c>
      <c r="D11">
        <v>990</v>
      </c>
      <c r="E11" t="s">
        <v>104</v>
      </c>
      <c r="F11">
        <v>0</v>
      </c>
      <c r="G11" s="8">
        <v>0.82200000000000006</v>
      </c>
      <c r="H11" s="8">
        <v>0.08199999999999999</v>
      </c>
      <c r="I11" s="8">
        <v>0.096000000000000002</v>
      </c>
      <c r="J11" s="8">
        <v>0.88400000000000001</v>
      </c>
      <c r="K11" s="9">
        <v>69281964</v>
      </c>
      <c r="L11" s="8">
        <v>0.17699999999999999</v>
      </c>
      <c r="M11" s="10">
        <v>0</v>
      </c>
      <c r="N11" s="8">
        <v>0.028999999999999998</v>
      </c>
      <c r="O11" s="8">
        <v>0.002</v>
      </c>
      <c r="P11" s="8">
        <v>0.73799999999999999</v>
      </c>
      <c r="Q11" s="8">
        <v>0.25900000000000001</v>
      </c>
      <c r="R11" s="10">
        <v>0</v>
      </c>
      <c r="S11" s="9">
        <v>45607314543</v>
      </c>
      <c r="T11" s="9">
        <v>2606254007</v>
      </c>
      <c r="U11" s="9">
        <v>1155506554902</v>
      </c>
      <c r="V11" s="9">
        <v>405437435521</v>
      </c>
      <c r="W11">
        <v>0</v>
      </c>
      <c r="X11" s="17">
        <v>1052.1130000000001</v>
      </c>
      <c r="Y11">
        <v>40.718000000000004</v>
      </c>
      <c r="Z11">
        <v>23.821999999999999</v>
      </c>
      <c r="AA11">
        <v>35.320999999999998</v>
      </c>
      <c r="AB11" s="9">
        <v>8579839</v>
      </c>
      <c r="AC11">
        <v>0</v>
      </c>
      <c r="AD11" s="11">
        <f>0+SUBSTITUTE(B11,"s","")</f>
        <v>2.2999999999999998</v>
      </c>
      <c r="AG11">
        <f>1-AE11-AF11</f>
        <v>1</v>
      </c>
      <c r="AH11">
        <f>AE11*$AD11</f>
        <v>0</v>
      </c>
      <c r="AI11">
        <f>AF11*$AD11</f>
        <v>0</v>
      </c>
      <c r="AJ11">
        <f>AG11*$AD11</f>
        <v>2.2999999999999998</v>
      </c>
    </row>
    <row r="12">
      <c r="A12" t="s">
        <v>128</v>
      </c>
      <c r="B12" s="6" t="s">
        <v>129</v>
      </c>
      <c r="C12" t="s">
        <v>130</v>
      </c>
      <c r="D12">
        <v>924</v>
      </c>
      <c r="E12" t="s">
        <v>104</v>
      </c>
      <c r="F12">
        <v>0</v>
      </c>
      <c r="G12" s="8">
        <v>0.031</v>
      </c>
      <c r="H12" s="8">
        <v>0.044000000000000004</v>
      </c>
      <c r="I12" s="8">
        <v>0.92599999999999993</v>
      </c>
      <c r="J12" s="10">
        <v>0.059999999999999998</v>
      </c>
      <c r="K12" s="9">
        <v>734478</v>
      </c>
      <c r="L12" s="8">
        <v>0.001</v>
      </c>
      <c r="M12" s="10">
        <v>0</v>
      </c>
      <c r="N12" s="8">
        <v>0.0040000000000000001</v>
      </c>
      <c r="O12" s="8">
        <v>0.001</v>
      </c>
      <c r="P12" s="8">
        <v>0.0030000000000000001</v>
      </c>
      <c r="Q12" s="8">
        <v>0.026000000000000002</v>
      </c>
      <c r="R12" s="10">
        <v>0</v>
      </c>
      <c r="S12" s="9">
        <v>43284106</v>
      </c>
      <c r="T12" s="9">
        <v>9760446</v>
      </c>
      <c r="U12" s="9">
        <v>36581873</v>
      </c>
      <c r="V12" s="9">
        <v>279398165</v>
      </c>
      <c r="W12">
        <v>0</v>
      </c>
      <c r="X12">
        <v>49.109000000000002</v>
      </c>
      <c r="Y12">
        <v>31.129000000000001</v>
      </c>
      <c r="Z12">
        <v>8.3900000000000006</v>
      </c>
      <c r="AA12">
        <v>12.223000000000001</v>
      </c>
      <c r="AB12" s="9">
        <v>21000</v>
      </c>
      <c r="AC12">
        <v>0</v>
      </c>
      <c r="AD12" s="11">
        <f>0+SUBSTITUTE(B12,"s","")</f>
        <v>0.017999999999999999</v>
      </c>
      <c r="AG12">
        <f>1-AE12-AF12</f>
        <v>1</v>
      </c>
      <c r="AH12">
        <f>AE12*$AD12</f>
        <v>0</v>
      </c>
      <c r="AI12">
        <f>AF12*$AD12</f>
        <v>0</v>
      </c>
      <c r="AJ12">
        <f>AG12*$AD12</f>
        <v>0.017999999999999999</v>
      </c>
    </row>
    <row r="13">
      <c r="A13" t="s">
        <v>131</v>
      </c>
      <c r="B13" s="6" t="s">
        <v>132</v>
      </c>
      <c r="C13" t="s">
        <v>133</v>
      </c>
      <c r="D13">
        <v>132</v>
      </c>
      <c r="E13" t="s">
        <v>104</v>
      </c>
      <c r="F13">
        <v>0</v>
      </c>
      <c r="G13" s="10">
        <v>0</v>
      </c>
      <c r="H13" s="8">
        <v>0.001</v>
      </c>
      <c r="I13" s="8">
        <v>0.99900000000000011</v>
      </c>
      <c r="J13" s="10">
        <v>0</v>
      </c>
      <c r="K13">
        <v>346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9">
        <v>5670</v>
      </c>
      <c r="T13" s="9">
        <v>2656</v>
      </c>
      <c r="U13" s="9">
        <v>7002</v>
      </c>
      <c r="V13" s="9">
        <v>46070</v>
      </c>
      <c r="W13">
        <v>0</v>
      </c>
      <c r="X13">
        <v>1.21</v>
      </c>
      <c r="Y13">
        <v>0.029000000000000001</v>
      </c>
      <c r="Z13">
        <v>0.24299999999999999</v>
      </c>
      <c r="AA13">
        <v>0.11</v>
      </c>
      <c r="AB13">
        <v>192</v>
      </c>
      <c r="AC13">
        <v>0</v>
      </c>
      <c r="AD13" s="11">
        <f>0+SUBSTITUTE(B13,"s","")</f>
        <v>0.002</v>
      </c>
      <c r="AG13">
        <f>1-AE13-AF13</f>
        <v>1</v>
      </c>
      <c r="AH13">
        <f>AE13*$AD13</f>
        <v>0</v>
      </c>
      <c r="AI13">
        <f>AF13*$AD13</f>
        <v>0</v>
      </c>
      <c r="AJ13">
        <f>AG13*$AD13</f>
        <v>0.002</v>
      </c>
    </row>
    <row r="14">
      <c r="A14" t="s">
        <v>134</v>
      </c>
      <c r="B14" s="6" t="s">
        <v>135</v>
      </c>
      <c r="C14" t="s">
        <v>136</v>
      </c>
      <c r="D14" s="9">
        <v>1849</v>
      </c>
      <c r="E14" t="s">
        <v>104</v>
      </c>
      <c r="F14">
        <v>0</v>
      </c>
      <c r="G14" s="8">
        <v>0.0090000000000000011</v>
      </c>
      <c r="H14" s="8">
        <v>0.031</v>
      </c>
      <c r="I14" s="10">
        <v>0.95999999999999996</v>
      </c>
      <c r="J14" s="8">
        <v>0.027999999999999997</v>
      </c>
      <c r="K14" s="9">
        <v>565048</v>
      </c>
      <c r="L14" s="8">
        <v>0.001</v>
      </c>
      <c r="M14" s="10">
        <v>0</v>
      </c>
      <c r="N14" s="8">
        <v>0.002</v>
      </c>
      <c r="O14" s="10">
        <v>0</v>
      </c>
      <c r="P14" s="8">
        <v>0.0030000000000000001</v>
      </c>
      <c r="Q14" s="8">
        <v>0.0060000000000000001</v>
      </c>
      <c r="R14" s="10">
        <v>0</v>
      </c>
      <c r="S14" s="9">
        <v>33969743</v>
      </c>
      <c r="T14" s="9">
        <v>7118288</v>
      </c>
      <c r="U14" s="9">
        <v>42550745</v>
      </c>
      <c r="V14" s="9">
        <v>99654229</v>
      </c>
      <c r="W14" s="9">
        <v>10638</v>
      </c>
      <c r="X14">
        <v>23.163</v>
      </c>
      <c r="Y14">
        <v>15.269</v>
      </c>
      <c r="Z14">
        <v>11.564</v>
      </c>
      <c r="AA14">
        <v>11.798999999999999</v>
      </c>
      <c r="AB14" s="9">
        <v>226118</v>
      </c>
      <c r="AC14">
        <v>0</v>
      </c>
      <c r="AD14" s="11">
        <f>0+SUBSTITUTE(B14,"s","")</f>
        <v>0.023</v>
      </c>
      <c r="AG14">
        <f>1-AE14-AF14</f>
        <v>1</v>
      </c>
      <c r="AH14">
        <f>AE14*$AD14</f>
        <v>0</v>
      </c>
      <c r="AI14">
        <f>AF14*$AD14</f>
        <v>0</v>
      </c>
      <c r="AJ14">
        <f>AG14*$AD14</f>
        <v>0.023</v>
      </c>
    </row>
    <row r="15" s="12" customFormat="1">
      <c r="A15" s="12" t="s">
        <v>137</v>
      </c>
      <c r="B15" s="13" t="s">
        <v>121</v>
      </c>
      <c r="C15" s="12" t="s">
        <v>114</v>
      </c>
      <c r="D15" s="12">
        <v>594</v>
      </c>
      <c r="E15" s="12" t="s">
        <v>104</v>
      </c>
      <c r="F15" s="12">
        <v>0</v>
      </c>
      <c r="G15" s="14">
        <v>0.43099999999999999</v>
      </c>
      <c r="H15" s="14">
        <v>0.29799999999999999</v>
      </c>
      <c r="I15" s="14">
        <v>0.27100000000000002</v>
      </c>
      <c r="J15" s="14">
        <v>0.59799999999999998</v>
      </c>
      <c r="K15" s="15">
        <v>719310</v>
      </c>
      <c r="L15" s="14">
        <v>0.072999999999999995</v>
      </c>
      <c r="M15" s="16">
        <v>0</v>
      </c>
      <c r="N15" s="14">
        <v>0.017000000000000001</v>
      </c>
      <c r="O15" s="14">
        <v>0.001</v>
      </c>
      <c r="P15" s="14">
        <v>0.34600000000000003</v>
      </c>
      <c r="Q15" s="14">
        <v>0.153</v>
      </c>
      <c r="R15" s="16">
        <v>0</v>
      </c>
      <c r="S15" s="15">
        <v>38082482</v>
      </c>
      <c r="T15" s="15">
        <v>1769135</v>
      </c>
      <c r="U15" s="15">
        <v>763306227</v>
      </c>
      <c r="V15" s="15">
        <v>337970486</v>
      </c>
      <c r="W15" s="12">
        <v>0</v>
      </c>
      <c r="X15" s="12">
        <v>836.26400000000001</v>
      </c>
      <c r="Y15" s="12">
        <v>294.47699999999998</v>
      </c>
      <c r="Z15" s="12">
        <v>139.69200000000001</v>
      </c>
      <c r="AA15" s="12">
        <v>93.195999999999998</v>
      </c>
      <c r="AB15" s="12">
        <v>0</v>
      </c>
      <c r="AC15" s="12">
        <v>0</v>
      </c>
      <c r="AD15" s="11">
        <f>0+SUBSTITUTE(B15,"s","")</f>
        <v>0.0030000000000000001</v>
      </c>
      <c r="AF15" s="12">
        <v>1</v>
      </c>
      <c r="AG15">
        <f>1-AE15-AF15</f>
        <v>0</v>
      </c>
      <c r="AH15">
        <f>AE15*$AD15</f>
        <v>0</v>
      </c>
      <c r="AI15">
        <f>AF15*$AD15</f>
        <v>0.0030000000000000001</v>
      </c>
      <c r="AJ15">
        <f>AG15*$AD15</f>
        <v>0</v>
      </c>
    </row>
    <row r="16" s="12" customFormat="1">
      <c r="A16" s="12" t="s">
        <v>138</v>
      </c>
      <c r="B16" s="13" t="s">
        <v>139</v>
      </c>
      <c r="C16" s="12" t="s">
        <v>140</v>
      </c>
      <c r="D16" s="12">
        <v>594</v>
      </c>
      <c r="E16" s="12" t="s">
        <v>104</v>
      </c>
      <c r="F16" s="12">
        <v>0</v>
      </c>
      <c r="G16" s="14">
        <v>0.375</v>
      </c>
      <c r="H16" s="14">
        <v>0.36200000000000004</v>
      </c>
      <c r="I16" s="14">
        <v>0.26300000000000001</v>
      </c>
      <c r="J16" s="14">
        <v>0.40799999999999997</v>
      </c>
      <c r="K16" s="15">
        <v>20754419</v>
      </c>
      <c r="L16" s="14">
        <v>0.036000000000000004</v>
      </c>
      <c r="M16" s="16">
        <v>0</v>
      </c>
      <c r="N16" s="14">
        <v>0.083000000000000004</v>
      </c>
      <c r="O16" s="14">
        <v>0.018000000000000002</v>
      </c>
      <c r="P16" s="14">
        <v>0.16200000000000001</v>
      </c>
      <c r="Q16" s="14">
        <v>0.19899999999999998</v>
      </c>
      <c r="R16" s="16">
        <v>0</v>
      </c>
      <c r="S16" s="15">
        <v>21510205232</v>
      </c>
      <c r="T16" s="15">
        <v>4753661188</v>
      </c>
      <c r="U16" s="15">
        <v>42084493248</v>
      </c>
      <c r="V16" s="15">
        <v>51767078959</v>
      </c>
      <c r="W16" s="15">
        <v>1598425</v>
      </c>
      <c r="X16" s="12">
        <v>152.77799999999999</v>
      </c>
      <c r="Y16" s="12">
        <v>156.005</v>
      </c>
      <c r="Z16" s="12">
        <v>67.016999999999996</v>
      </c>
      <c r="AA16" s="12">
        <v>94.007999999999996</v>
      </c>
      <c r="AB16" s="15">
        <v>207017134</v>
      </c>
      <c r="AC16" s="12">
        <v>0</v>
      </c>
      <c r="AD16" s="11">
        <f>0+SUBSTITUTE(B16,"s","")</f>
        <v>0.38300000000000001</v>
      </c>
      <c r="AF16" s="12">
        <v>1</v>
      </c>
      <c r="AG16">
        <f>1-AE16-AF16</f>
        <v>0</v>
      </c>
      <c r="AH16">
        <f>AE16*$AD16</f>
        <v>0</v>
      </c>
      <c r="AI16">
        <f>AF16*$AD16</f>
        <v>0.38300000000000001</v>
      </c>
      <c r="AJ16">
        <f>AG16*$AD16</f>
        <v>0</v>
      </c>
    </row>
    <row r="17" s="12" customFormat="1">
      <c r="A17" s="12" t="s">
        <v>141</v>
      </c>
      <c r="B17" s="13" t="s">
        <v>132</v>
      </c>
      <c r="C17" s="12" t="s">
        <v>114</v>
      </c>
      <c r="D17" s="12">
        <v>330</v>
      </c>
      <c r="E17" s="12" t="s">
        <v>104</v>
      </c>
      <c r="F17" s="12">
        <v>0</v>
      </c>
      <c r="G17" s="14">
        <v>0.50900000000000001</v>
      </c>
      <c r="H17" s="14">
        <v>0.24399999999999999</v>
      </c>
      <c r="I17" s="14">
        <v>0.248</v>
      </c>
      <c r="J17" s="14">
        <v>0.51600000000000001</v>
      </c>
      <c r="K17" s="15">
        <v>372057</v>
      </c>
      <c r="L17" s="14">
        <v>0.088000000000000009</v>
      </c>
      <c r="M17" s="16">
        <v>0</v>
      </c>
      <c r="N17" s="14">
        <v>0.019</v>
      </c>
      <c r="O17" s="14">
        <v>0.001</v>
      </c>
      <c r="P17" s="14">
        <v>0.42100000000000004</v>
      </c>
      <c r="Q17" s="14">
        <v>0.17100000000000001</v>
      </c>
      <c r="R17" s="16">
        <v>0</v>
      </c>
      <c r="S17" s="15">
        <v>17395732</v>
      </c>
      <c r="T17" s="15">
        <v>743559</v>
      </c>
      <c r="U17" s="15">
        <v>383360250</v>
      </c>
      <c r="V17" s="15">
        <v>155483390</v>
      </c>
      <c r="W17" s="12">
        <v>0</v>
      </c>
      <c r="X17" s="12">
        <v>613.37800000000004</v>
      </c>
      <c r="Y17" s="12">
        <v>166.75999999999999</v>
      </c>
      <c r="Z17" s="12">
        <v>50.718000000000004</v>
      </c>
      <c r="AA17" s="12">
        <v>18.751999999999999</v>
      </c>
      <c r="AB17" s="12">
        <v>0</v>
      </c>
      <c r="AC17" s="12">
        <v>0</v>
      </c>
      <c r="AD17" s="11">
        <f>0+SUBSTITUTE(B17,"s","")</f>
        <v>0.002</v>
      </c>
      <c r="AF17" s="12">
        <v>1</v>
      </c>
      <c r="AG17">
        <f>1-AE17-AF17</f>
        <v>0</v>
      </c>
      <c r="AH17">
        <f>AE17*$AD17</f>
        <v>0</v>
      </c>
      <c r="AI17">
        <f>AF17*$AD17</f>
        <v>0.002</v>
      </c>
      <c r="AJ17">
        <f>AG17*$AD17</f>
        <v>0</v>
      </c>
    </row>
    <row r="18" s="12" customFormat="1">
      <c r="A18" s="12" t="s">
        <v>142</v>
      </c>
      <c r="B18" s="13" t="s">
        <v>143</v>
      </c>
      <c r="C18" s="12" t="s">
        <v>144</v>
      </c>
      <c r="D18" s="12">
        <v>330</v>
      </c>
      <c r="E18" s="12" t="s">
        <v>104</v>
      </c>
      <c r="F18" s="12">
        <v>0</v>
      </c>
      <c r="G18" s="14">
        <v>0.41399999999999998</v>
      </c>
      <c r="H18" s="14">
        <v>0.29199999999999998</v>
      </c>
      <c r="I18" s="14">
        <v>0.29399999999999998</v>
      </c>
      <c r="J18" s="14">
        <v>0.36499999999999999</v>
      </c>
      <c r="K18" s="15">
        <v>18219699</v>
      </c>
      <c r="L18" s="14">
        <v>0.047</v>
      </c>
      <c r="M18" s="16">
        <v>0</v>
      </c>
      <c r="N18" s="16">
        <v>0.089999999999999997</v>
      </c>
      <c r="O18" s="14">
        <v>0.014999999999999999</v>
      </c>
      <c r="P18" s="14">
        <v>0.217</v>
      </c>
      <c r="Q18" s="16">
        <v>0.20000000000000001</v>
      </c>
      <c r="R18" s="16">
        <v>0</v>
      </c>
      <c r="S18" s="15">
        <v>13096082382</v>
      </c>
      <c r="T18" s="15">
        <v>2241058751</v>
      </c>
      <c r="U18" s="15">
        <v>31452929305</v>
      </c>
      <c r="V18" s="15">
        <v>29034149880</v>
      </c>
      <c r="W18" s="15">
        <v>1941573</v>
      </c>
      <c r="X18" s="12">
        <v>143.98400000000001</v>
      </c>
      <c r="Y18" s="12">
        <v>201.309</v>
      </c>
      <c r="Z18" s="12">
        <v>42.189</v>
      </c>
      <c r="AA18" s="12">
        <v>84.021000000000001</v>
      </c>
      <c r="AB18" s="15">
        <v>154394164</v>
      </c>
      <c r="AC18" s="12">
        <v>0</v>
      </c>
      <c r="AD18" s="11">
        <f>0+SUBSTITUTE(B18,"s","")</f>
        <v>0.21199999999999999</v>
      </c>
      <c r="AF18" s="12">
        <v>1</v>
      </c>
      <c r="AG18">
        <f>1-AE18-AF18</f>
        <v>0</v>
      </c>
      <c r="AH18">
        <f>AE18*$AD18</f>
        <v>0</v>
      </c>
      <c r="AI18">
        <f>AF18*$AD18</f>
        <v>0.21199999999999999</v>
      </c>
      <c r="AJ18">
        <f>AG18*$AD18</f>
        <v>0</v>
      </c>
    </row>
    <row r="19" s="12" customFormat="1">
      <c r="A19" s="12" t="s">
        <v>145</v>
      </c>
      <c r="B19" s="13" t="s">
        <v>106</v>
      </c>
      <c r="C19" s="12" t="s">
        <v>114</v>
      </c>
      <c r="D19" s="12">
        <v>66</v>
      </c>
      <c r="E19" s="12" t="s">
        <v>104</v>
      </c>
      <c r="F19" s="12">
        <v>0</v>
      </c>
      <c r="G19" s="16">
        <v>0</v>
      </c>
      <c r="H19" s="16">
        <v>0</v>
      </c>
      <c r="I19" s="16">
        <v>1</v>
      </c>
      <c r="J19" s="16">
        <v>0</v>
      </c>
      <c r="K19" s="12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1">
        <f>0+SUBSTITUTE(B19,"s","")</f>
        <v>0</v>
      </c>
      <c r="AF19" s="12">
        <v>1</v>
      </c>
      <c r="AG19">
        <f>1-AE19-AF19</f>
        <v>0</v>
      </c>
      <c r="AH19">
        <f>AE19*$AD19</f>
        <v>0</v>
      </c>
      <c r="AI19">
        <f>AF19*$AD19</f>
        <v>0</v>
      </c>
      <c r="AJ19">
        <f>AG19*$AD19</f>
        <v>0</v>
      </c>
    </row>
    <row r="20" s="12" customFormat="1">
      <c r="A20" s="12" t="s">
        <v>146</v>
      </c>
      <c r="B20" s="13" t="s">
        <v>119</v>
      </c>
      <c r="C20" s="12" t="s">
        <v>147</v>
      </c>
      <c r="D20" s="12">
        <v>66</v>
      </c>
      <c r="E20" s="12" t="s">
        <v>104</v>
      </c>
      <c r="F20" s="12">
        <v>0</v>
      </c>
      <c r="G20" s="16">
        <v>0</v>
      </c>
      <c r="H20" s="16">
        <v>0</v>
      </c>
      <c r="I20" s="16">
        <v>1</v>
      </c>
      <c r="J20" s="16">
        <v>0</v>
      </c>
      <c r="K20" s="12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1">
        <f>0+SUBSTITUTE(B20,"s","")</f>
        <v>0.001</v>
      </c>
      <c r="AF20" s="12">
        <v>1</v>
      </c>
      <c r="AG20">
        <f>1-AE20-AF20</f>
        <v>0</v>
      </c>
      <c r="AH20">
        <f>AE20*$AD20</f>
        <v>0</v>
      </c>
      <c r="AI20">
        <f>AF20*$AD20</f>
        <v>0.001</v>
      </c>
      <c r="AJ20">
        <f>AG20*$AD20</f>
        <v>0</v>
      </c>
    </row>
    <row r="21">
      <c r="A21" t="s">
        <v>148</v>
      </c>
      <c r="B21" s="6" t="s">
        <v>132</v>
      </c>
      <c r="C21" t="s">
        <v>149</v>
      </c>
      <c r="D21">
        <v>64</v>
      </c>
      <c r="E21" t="s">
        <v>104</v>
      </c>
      <c r="F21">
        <v>0</v>
      </c>
      <c r="G21" s="8">
        <v>0.031</v>
      </c>
      <c r="H21" s="8">
        <v>0.072000000000000008</v>
      </c>
      <c r="I21" s="8">
        <v>0.89700000000000002</v>
      </c>
      <c r="J21" s="8">
        <v>0.088000000000000009</v>
      </c>
      <c r="K21" s="9">
        <v>170694</v>
      </c>
      <c r="L21" s="8">
        <v>0.002</v>
      </c>
      <c r="M21" s="10">
        <v>0</v>
      </c>
      <c r="N21" s="8">
        <v>0.0030000000000000001</v>
      </c>
      <c r="O21" s="8">
        <v>0.001</v>
      </c>
      <c r="P21" s="8">
        <v>0.018000000000000002</v>
      </c>
      <c r="Q21" s="8">
        <v>0.013000000000000001</v>
      </c>
      <c r="R21" s="10">
        <v>0</v>
      </c>
      <c r="S21" s="9">
        <v>5675300</v>
      </c>
      <c r="T21" s="9">
        <v>1335851</v>
      </c>
      <c r="U21" s="9">
        <v>33037008</v>
      </c>
      <c r="V21" s="9">
        <v>24220145</v>
      </c>
      <c r="W21" s="9">
        <v>9777</v>
      </c>
      <c r="X21">
        <v>142.32499999999999</v>
      </c>
      <c r="Y21">
        <v>70.817999999999998</v>
      </c>
      <c r="Z21">
        <v>21.003</v>
      </c>
      <c r="AA21">
        <v>59.353999999999999</v>
      </c>
      <c r="AB21" s="9">
        <v>9216</v>
      </c>
      <c r="AC21">
        <v>0</v>
      </c>
      <c r="AD21" s="11">
        <f>0+SUBSTITUTE(B21,"s","")</f>
        <v>0.002</v>
      </c>
      <c r="AG21">
        <f>1-AE21-AF21</f>
        <v>1</v>
      </c>
      <c r="AH21">
        <f>AE21*$AD21</f>
        <v>0</v>
      </c>
      <c r="AI21">
        <f>AF21*$AD21</f>
        <v>0</v>
      </c>
      <c r="AJ21">
        <f>AG21*$AD21</f>
        <v>0.002</v>
      </c>
    </row>
    <row r="22">
      <c r="A22" t="s">
        <v>150</v>
      </c>
      <c r="B22" s="6" t="s">
        <v>151</v>
      </c>
      <c r="C22" t="s">
        <v>152</v>
      </c>
      <c r="D22" s="9">
        <v>1454</v>
      </c>
      <c r="E22" t="s">
        <v>104</v>
      </c>
      <c r="F22">
        <v>0</v>
      </c>
      <c r="G22" s="8">
        <v>0.050999999999999997</v>
      </c>
      <c r="H22" s="8">
        <v>0.026000000000000002</v>
      </c>
      <c r="I22" s="8">
        <v>0.92299999999999993</v>
      </c>
      <c r="J22" s="8">
        <v>0.057999999999999996</v>
      </c>
      <c r="K22" s="9">
        <v>147771</v>
      </c>
      <c r="L22" s="8">
        <v>0.0090000000000000011</v>
      </c>
      <c r="M22" s="10">
        <v>0</v>
      </c>
      <c r="N22" s="8">
        <v>0.0040000000000000001</v>
      </c>
      <c r="O22" s="8">
        <v>0.001</v>
      </c>
      <c r="P22" s="8">
        <v>0.036000000000000004</v>
      </c>
      <c r="Q22" s="8">
        <v>0.022000000000000002</v>
      </c>
      <c r="R22" s="10">
        <v>0</v>
      </c>
      <c r="S22" s="9">
        <v>24225533</v>
      </c>
      <c r="T22" s="9">
        <v>5510561</v>
      </c>
      <c r="U22" s="9">
        <v>203839895</v>
      </c>
      <c r="V22" s="9">
        <v>120462407</v>
      </c>
      <c r="W22" s="9">
        <v>7838</v>
      </c>
      <c r="X22">
        <v>129.87899999999999</v>
      </c>
      <c r="Y22">
        <v>73.900999999999996</v>
      </c>
      <c r="Z22">
        <v>15.565</v>
      </c>
      <c r="AA22">
        <v>70.099000000000004</v>
      </c>
      <c r="AB22" s="9">
        <v>193502</v>
      </c>
      <c r="AC22">
        <v>0</v>
      </c>
      <c r="AD22" s="11">
        <f>0+SUBSTITUTE(B22,"s","")</f>
        <v>0.0080000000000000002</v>
      </c>
      <c r="AG22">
        <f>1-AE22-AF22</f>
        <v>1</v>
      </c>
      <c r="AH22">
        <f>AE22*$AD22</f>
        <v>0</v>
      </c>
      <c r="AI22">
        <f>AF22*$AD22</f>
        <v>0</v>
      </c>
      <c r="AJ22">
        <f>AG22*$AD22</f>
        <v>0.0080000000000000002</v>
      </c>
    </row>
    <row r="23">
      <c r="A23" t="s">
        <v>153</v>
      </c>
      <c r="B23" s="6" t="s">
        <v>106</v>
      </c>
      <c r="C23" t="s">
        <v>154</v>
      </c>
      <c r="D23">
        <v>66</v>
      </c>
      <c r="E23" t="s">
        <v>104</v>
      </c>
      <c r="F23">
        <v>0</v>
      </c>
      <c r="G23" s="10">
        <v>0</v>
      </c>
      <c r="H23" s="10">
        <v>0</v>
      </c>
      <c r="I23" s="10">
        <v>1</v>
      </c>
      <c r="J23" s="10">
        <v>0</v>
      </c>
      <c r="K23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 s="11">
        <f>0+SUBSTITUTE(B23,"s","")</f>
        <v>0</v>
      </c>
      <c r="AG23">
        <f>1-AE23-AF23</f>
        <v>1</v>
      </c>
      <c r="AH23">
        <f>AE23*$AD23</f>
        <v>0</v>
      </c>
      <c r="AI23">
        <f>AF23*$AD23</f>
        <v>0</v>
      </c>
      <c r="AJ23">
        <f>AG23*$AD23</f>
        <v>0</v>
      </c>
    </row>
    <row r="24">
      <c r="A24" t="s">
        <v>155</v>
      </c>
      <c r="B24" s="6" t="s">
        <v>106</v>
      </c>
      <c r="C24" t="s">
        <v>107</v>
      </c>
      <c r="D24">
        <v>66</v>
      </c>
      <c r="E24" t="s">
        <v>104</v>
      </c>
      <c r="F24">
        <v>0</v>
      </c>
      <c r="G24" s="8">
        <v>0.024</v>
      </c>
      <c r="H24" s="8">
        <v>0.050999999999999997</v>
      </c>
      <c r="I24" s="8">
        <v>0.92500000000000004</v>
      </c>
      <c r="J24" s="8">
        <v>0.064000000000000001</v>
      </c>
      <c r="K24" s="9">
        <v>86320</v>
      </c>
      <c r="L24" s="10">
        <v>0</v>
      </c>
      <c r="M24" s="10">
        <v>0</v>
      </c>
      <c r="N24" s="8">
        <v>0.002</v>
      </c>
      <c r="O24" s="8">
        <v>0.001</v>
      </c>
      <c r="P24" s="8">
        <v>0.002</v>
      </c>
      <c r="Q24" s="8">
        <v>0.021000000000000001</v>
      </c>
      <c r="R24" s="10">
        <v>0</v>
      </c>
      <c r="S24" s="9">
        <v>1883399</v>
      </c>
      <c r="T24" s="9">
        <v>1032470</v>
      </c>
      <c r="U24" s="9">
        <v>2201427</v>
      </c>
      <c r="V24" s="9">
        <v>19132017</v>
      </c>
      <c r="W24">
        <v>0</v>
      </c>
      <c r="X24">
        <v>96.545000000000002</v>
      </c>
      <c r="Y24">
        <v>66.185000000000002</v>
      </c>
      <c r="Z24">
        <v>0.82299999999999995</v>
      </c>
      <c r="AA24">
        <v>9.1159999999999997</v>
      </c>
      <c r="AB24">
        <v>0</v>
      </c>
      <c r="AC24">
        <v>0</v>
      </c>
      <c r="AD24" s="11">
        <f>0+SUBSTITUTE(B24,"s","")</f>
        <v>0</v>
      </c>
      <c r="AG24">
        <f>1-AE24-AF24</f>
        <v>1</v>
      </c>
      <c r="AH24">
        <f>AE24*$AD24</f>
        <v>0</v>
      </c>
      <c r="AI24">
        <f>AF24*$AD24</f>
        <v>0</v>
      </c>
      <c r="AJ24">
        <f>AG24*$AD24</f>
        <v>0</v>
      </c>
    </row>
    <row r="25">
      <c r="A25" t="s">
        <v>156</v>
      </c>
      <c r="B25" s="6" t="s">
        <v>106</v>
      </c>
      <c r="C25" t="s">
        <v>157</v>
      </c>
      <c r="D25">
        <v>66</v>
      </c>
      <c r="E25" t="s">
        <v>104</v>
      </c>
      <c r="F25">
        <v>0</v>
      </c>
      <c r="G25" s="10">
        <v>0.02</v>
      </c>
      <c r="H25" s="8">
        <v>0.025000000000000001</v>
      </c>
      <c r="I25" s="8">
        <v>0.95499999999999996</v>
      </c>
      <c r="J25" s="8">
        <v>0.037000000000000005</v>
      </c>
      <c r="K25" s="9">
        <v>51646</v>
      </c>
      <c r="L25" s="10">
        <v>0</v>
      </c>
      <c r="M25" s="10">
        <v>0</v>
      </c>
      <c r="N25" s="8">
        <v>0.001</v>
      </c>
      <c r="O25" s="8">
        <v>0.001</v>
      </c>
      <c r="P25" s="8">
        <v>0.001</v>
      </c>
      <c r="Q25" s="8">
        <v>0.018000000000000002</v>
      </c>
      <c r="R25" s="10">
        <v>0</v>
      </c>
      <c r="S25" s="9">
        <v>1246046</v>
      </c>
      <c r="T25" s="9">
        <v>783707</v>
      </c>
      <c r="U25" s="9">
        <v>687734</v>
      </c>
      <c r="V25" s="9">
        <v>16760840</v>
      </c>
      <c r="W25">
        <v>0</v>
      </c>
      <c r="X25">
        <v>44.960999999999999</v>
      </c>
      <c r="Y25">
        <v>35.405999999999999</v>
      </c>
      <c r="Z25">
        <v>0.73099999999999998</v>
      </c>
      <c r="AA25">
        <v>9.4920000000000009</v>
      </c>
      <c r="AB25">
        <v>0</v>
      </c>
      <c r="AC25">
        <v>0</v>
      </c>
      <c r="AD25" s="11">
        <f>0+SUBSTITUTE(B25,"s","")</f>
        <v>0</v>
      </c>
      <c r="AG25">
        <f>1-AE25-AF25</f>
        <v>1</v>
      </c>
      <c r="AH25">
        <f>AE25*$AD25</f>
        <v>0</v>
      </c>
      <c r="AI25">
        <f>AF25*$AD25</f>
        <v>0</v>
      </c>
      <c r="AJ25">
        <f>AG25*$AD25</f>
        <v>0</v>
      </c>
    </row>
    <row r="26">
      <c r="A26" t="s">
        <v>158</v>
      </c>
      <c r="B26" s="6" t="s">
        <v>106</v>
      </c>
      <c r="C26" t="s">
        <v>114</v>
      </c>
      <c r="D26">
        <v>66</v>
      </c>
      <c r="E26" t="s">
        <v>104</v>
      </c>
      <c r="F26">
        <v>0</v>
      </c>
      <c r="G26" s="10">
        <v>0</v>
      </c>
      <c r="H26" s="8">
        <v>0.001</v>
      </c>
      <c r="I26" s="8">
        <v>0.99900000000000011</v>
      </c>
      <c r="J26" s="10">
        <v>0</v>
      </c>
      <c r="K26">
        <v>136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>
        <v>982</v>
      </c>
      <c r="T26">
        <v>800</v>
      </c>
      <c r="U26">
        <v>568</v>
      </c>
      <c r="V26" s="9">
        <v>9020</v>
      </c>
      <c r="W26">
        <v>0</v>
      </c>
      <c r="X26">
        <v>2.6549999999999998</v>
      </c>
      <c r="Y26">
        <v>0.040000000000000001</v>
      </c>
      <c r="Z26">
        <v>0.52000000000000002</v>
      </c>
      <c r="AA26">
        <v>0.121</v>
      </c>
      <c r="AB26">
        <v>0</v>
      </c>
      <c r="AC26">
        <v>0</v>
      </c>
      <c r="AD26" s="11">
        <f>0+SUBSTITUTE(B26,"s","")</f>
        <v>0</v>
      </c>
      <c r="AG26">
        <f>1-AE26-AF26</f>
        <v>1</v>
      </c>
      <c r="AH26">
        <f>AE26*$AD26</f>
        <v>0</v>
      </c>
      <c r="AI26">
        <f>AF26*$AD26</f>
        <v>0</v>
      </c>
      <c r="AJ26">
        <f>AG26*$AD26</f>
        <v>0</v>
      </c>
    </row>
    <row r="27">
      <c r="A27" t="s">
        <v>159</v>
      </c>
      <c r="B27" s="6" t="s">
        <v>119</v>
      </c>
      <c r="C27" t="s">
        <v>112</v>
      </c>
      <c r="D27">
        <v>264</v>
      </c>
      <c r="E27" t="s">
        <v>104</v>
      </c>
      <c r="F27">
        <v>0</v>
      </c>
      <c r="G27" s="10">
        <v>0</v>
      </c>
      <c r="H27" s="8">
        <v>0.001</v>
      </c>
      <c r="I27" s="8">
        <v>0.99900000000000011</v>
      </c>
      <c r="J27" s="10">
        <v>0</v>
      </c>
      <c r="K27">
        <v>382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9">
        <v>5026</v>
      </c>
      <c r="T27" s="9">
        <v>5199</v>
      </c>
      <c r="U27" s="9">
        <v>14398</v>
      </c>
      <c r="V27" s="9">
        <v>55404</v>
      </c>
      <c r="W27">
        <v>0</v>
      </c>
      <c r="X27">
        <v>1.7709999999999999</v>
      </c>
      <c r="Y27">
        <v>0.043999999999999997</v>
      </c>
      <c r="Z27">
        <v>0.311</v>
      </c>
      <c r="AA27">
        <v>0.070999999999999994</v>
      </c>
      <c r="AB27">
        <v>0</v>
      </c>
      <c r="AC27">
        <v>0</v>
      </c>
      <c r="AD27" s="11">
        <f>0+SUBSTITUTE(B27,"s","")</f>
        <v>0.001</v>
      </c>
      <c r="AG27">
        <f>1-AE27-AF27</f>
        <v>1</v>
      </c>
      <c r="AH27">
        <f>AE27*$AD27</f>
        <v>0</v>
      </c>
      <c r="AI27">
        <f>AF27*$AD27</f>
        <v>0</v>
      </c>
      <c r="AJ27">
        <f>AG27*$AD27</f>
        <v>0.001</v>
      </c>
    </row>
    <row r="28">
      <c r="A28" t="s">
        <v>160</v>
      </c>
      <c r="B28" s="6" t="s">
        <v>161</v>
      </c>
      <c r="C28" t="s">
        <v>112</v>
      </c>
      <c r="D28" s="9">
        <v>1055</v>
      </c>
      <c r="E28" t="s">
        <v>104</v>
      </c>
      <c r="F28">
        <v>0</v>
      </c>
      <c r="G28" s="8">
        <v>0.027999999999999997</v>
      </c>
      <c r="H28" s="8">
        <v>0.044000000000000004</v>
      </c>
      <c r="I28" s="8">
        <v>0.92799999999999994</v>
      </c>
      <c r="J28" s="8">
        <v>0.057000000000000002</v>
      </c>
      <c r="K28" s="9">
        <v>206022</v>
      </c>
      <c r="L28" s="10">
        <v>0</v>
      </c>
      <c r="M28" s="10">
        <v>0</v>
      </c>
      <c r="N28" s="8">
        <v>0.0040000000000000001</v>
      </c>
      <c r="O28" s="8">
        <v>0.001</v>
      </c>
      <c r="P28" s="8">
        <v>0.002</v>
      </c>
      <c r="Q28" s="8">
        <v>0.025000000000000001</v>
      </c>
      <c r="R28" s="10">
        <v>0</v>
      </c>
      <c r="S28" s="9">
        <v>11962184</v>
      </c>
      <c r="T28" s="9">
        <v>2796659</v>
      </c>
      <c r="U28" s="9">
        <v>5231948</v>
      </c>
      <c r="V28" s="9">
        <v>78039854</v>
      </c>
      <c r="W28">
        <v>0</v>
      </c>
      <c r="X28">
        <v>76.456999999999994</v>
      </c>
      <c r="Y28">
        <v>44.158000000000001</v>
      </c>
      <c r="Z28">
        <v>12.364000000000001</v>
      </c>
      <c r="AA28">
        <v>11.942</v>
      </c>
      <c r="AB28" s="9">
        <v>4282</v>
      </c>
      <c r="AC28">
        <v>0</v>
      </c>
      <c r="AD28" s="11">
        <f>0+SUBSTITUTE(B28,"s","")</f>
        <v>0.0040000000000000001</v>
      </c>
      <c r="AG28">
        <f>1-AE28-AF28</f>
        <v>1</v>
      </c>
      <c r="AH28">
        <f>AE28*$AD28</f>
        <v>0</v>
      </c>
      <c r="AI28">
        <f>AF28*$AD28</f>
        <v>0</v>
      </c>
      <c r="AJ28">
        <f>AG28*$AD28</f>
        <v>0.0040000000000000001</v>
      </c>
    </row>
    <row r="29">
      <c r="A29" t="s">
        <v>162</v>
      </c>
      <c r="B29" s="6" t="s">
        <v>119</v>
      </c>
      <c r="C29" t="s">
        <v>114</v>
      </c>
      <c r="D29">
        <v>130</v>
      </c>
      <c r="E29" t="s">
        <v>104</v>
      </c>
      <c r="F29">
        <v>0</v>
      </c>
      <c r="G29" s="8">
        <v>0.055</v>
      </c>
      <c r="H29" s="8">
        <v>0.122</v>
      </c>
      <c r="I29" s="8">
        <v>0.82299999999999995</v>
      </c>
      <c r="J29" s="8">
        <v>0.158</v>
      </c>
      <c r="K29" s="9">
        <v>47403</v>
      </c>
      <c r="L29" s="8">
        <v>0.0040000000000000001</v>
      </c>
      <c r="M29" s="10">
        <v>0</v>
      </c>
      <c r="N29" s="8">
        <v>0.0040000000000000001</v>
      </c>
      <c r="O29" s="8">
        <v>0.001</v>
      </c>
      <c r="P29" s="8">
        <v>0.039</v>
      </c>
      <c r="Q29" s="8">
        <v>0.018000000000000002</v>
      </c>
      <c r="R29" s="10">
        <v>0</v>
      </c>
      <c r="S29" s="9">
        <v>1729537</v>
      </c>
      <c r="T29" s="9">
        <v>271890</v>
      </c>
      <c r="U29" s="9">
        <v>17646789</v>
      </c>
      <c r="V29" s="9">
        <v>8099266</v>
      </c>
      <c r="W29" s="9">
        <v>2301</v>
      </c>
      <c r="X29">
        <v>166.76900000000001</v>
      </c>
      <c r="Y29">
        <v>57.314</v>
      </c>
      <c r="Z29">
        <v>44.645000000000003</v>
      </c>
      <c r="AA29">
        <v>68.081000000000003</v>
      </c>
      <c r="AB29" s="9">
        <v>2304</v>
      </c>
      <c r="AC29">
        <v>0</v>
      </c>
      <c r="AD29" s="11">
        <f>0+SUBSTITUTE(B29,"s","")</f>
        <v>0.001</v>
      </c>
      <c r="AG29">
        <f>1-AE29-AF29</f>
        <v>1</v>
      </c>
      <c r="AH29">
        <f>AE29*$AD29</f>
        <v>0</v>
      </c>
      <c r="AI29">
        <f>AF29*$AD29</f>
        <v>0</v>
      </c>
      <c r="AJ29">
        <f>AG29*$AD29</f>
        <v>0.001</v>
      </c>
    </row>
    <row r="30">
      <c r="A30" t="s">
        <v>163</v>
      </c>
      <c r="B30" s="6" t="s">
        <v>119</v>
      </c>
      <c r="C30" t="s">
        <v>164</v>
      </c>
      <c r="D30">
        <v>462</v>
      </c>
      <c r="E30" t="s">
        <v>104</v>
      </c>
      <c r="F30">
        <v>0</v>
      </c>
      <c r="G30" s="8">
        <v>0.065000000000000002</v>
      </c>
      <c r="H30" s="8">
        <v>0.20800000000000002</v>
      </c>
      <c r="I30" s="8">
        <v>0.72699999999999998</v>
      </c>
      <c r="J30" s="8">
        <v>0.25900000000000001</v>
      </c>
      <c r="K30" s="9">
        <v>49480</v>
      </c>
      <c r="L30" s="8">
        <v>0.0040000000000000001</v>
      </c>
      <c r="M30" s="10">
        <v>0</v>
      </c>
      <c r="N30" s="8">
        <v>0.0040000000000000001</v>
      </c>
      <c r="O30" s="10">
        <v>0</v>
      </c>
      <c r="P30" s="8">
        <v>0.037000000000000005</v>
      </c>
      <c r="Q30" s="8">
        <v>0.028999999999999998</v>
      </c>
      <c r="R30" s="10">
        <v>0</v>
      </c>
      <c r="S30" s="9">
        <v>1841320</v>
      </c>
      <c r="T30" s="9">
        <v>50160</v>
      </c>
      <c r="U30" s="9">
        <v>17060332</v>
      </c>
      <c r="V30" s="9">
        <v>13290698</v>
      </c>
      <c r="W30">
        <v>0</v>
      </c>
      <c r="X30">
        <v>141.227</v>
      </c>
      <c r="Y30">
        <v>67.242999999999995</v>
      </c>
      <c r="Z30">
        <v>53.313000000000002</v>
      </c>
      <c r="AA30">
        <v>46.707999999999998</v>
      </c>
      <c r="AB30">
        <v>96</v>
      </c>
      <c r="AC30">
        <v>0</v>
      </c>
      <c r="AD30" s="11">
        <f>0+SUBSTITUTE(B30,"s","")</f>
        <v>0.001</v>
      </c>
      <c r="AG30">
        <f>1-AE30-AF30</f>
        <v>1</v>
      </c>
      <c r="AH30">
        <f>AE30*$AD30</f>
        <v>0</v>
      </c>
      <c r="AI30">
        <f>AF30*$AD30</f>
        <v>0</v>
      </c>
      <c r="AJ30">
        <f>AG30*$AD30</f>
        <v>0.001</v>
      </c>
    </row>
    <row r="31">
      <c r="A31" t="s">
        <v>165</v>
      </c>
      <c r="B31" s="6" t="s">
        <v>119</v>
      </c>
      <c r="C31" t="s">
        <v>154</v>
      </c>
      <c r="D31">
        <v>132</v>
      </c>
      <c r="E31" t="s">
        <v>104</v>
      </c>
      <c r="F31">
        <v>0</v>
      </c>
      <c r="G31" s="10">
        <v>0</v>
      </c>
      <c r="H31" s="8">
        <v>0.001</v>
      </c>
      <c r="I31" s="8">
        <v>0.99900000000000011</v>
      </c>
      <c r="J31" s="10">
        <v>0</v>
      </c>
      <c r="K31">
        <v>379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9">
        <v>4563</v>
      </c>
      <c r="T31" s="9">
        <v>2464</v>
      </c>
      <c r="U31" s="9">
        <v>7726</v>
      </c>
      <c r="V31" s="9">
        <v>25413</v>
      </c>
      <c r="W31">
        <v>0</v>
      </c>
      <c r="X31">
        <v>1.1779999999999999</v>
      </c>
      <c r="Y31">
        <v>0.053999999999999999</v>
      </c>
      <c r="Z31">
        <v>1.0489999999999999</v>
      </c>
      <c r="AA31">
        <v>0.65800000000000003</v>
      </c>
      <c r="AB31">
        <v>288</v>
      </c>
      <c r="AC31">
        <v>0</v>
      </c>
      <c r="AD31" s="11">
        <f>0+SUBSTITUTE(B31,"s","")</f>
        <v>0.001</v>
      </c>
      <c r="AG31">
        <f>1-AE31-AF31</f>
        <v>1</v>
      </c>
      <c r="AH31">
        <f>AE31*$AD31</f>
        <v>0</v>
      </c>
      <c r="AI31">
        <f>AF31*$AD31</f>
        <v>0</v>
      </c>
      <c r="AJ31">
        <f>AG31*$AD31</f>
        <v>0.001</v>
      </c>
    </row>
    <row r="32">
      <c r="A32" t="s">
        <v>166</v>
      </c>
      <c r="B32" s="6" t="s">
        <v>106</v>
      </c>
      <c r="C32" t="s">
        <v>112</v>
      </c>
      <c r="D32">
        <v>66</v>
      </c>
      <c r="E32" t="s">
        <v>104</v>
      </c>
      <c r="F32">
        <v>0</v>
      </c>
      <c r="G32" s="10">
        <v>0</v>
      </c>
      <c r="H32" s="8">
        <v>0.001</v>
      </c>
      <c r="I32" s="8">
        <v>0.99900000000000011</v>
      </c>
      <c r="J32" s="10">
        <v>0</v>
      </c>
      <c r="K32">
        <v>129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9">
        <v>1451</v>
      </c>
      <c r="T32">
        <v>848</v>
      </c>
      <c r="U32" s="9">
        <v>2547</v>
      </c>
      <c r="V32" s="9">
        <v>8432</v>
      </c>
      <c r="W32">
        <v>0</v>
      </c>
      <c r="X32">
        <v>0.90700000000000003</v>
      </c>
      <c r="Y32">
        <v>0.039</v>
      </c>
      <c r="Z32">
        <v>0.85599999999999998</v>
      </c>
      <c r="AA32">
        <v>0.48899999999999999</v>
      </c>
      <c r="AB32">
        <v>96</v>
      </c>
      <c r="AC32">
        <v>0</v>
      </c>
      <c r="AD32" s="11">
        <f>0+SUBSTITUTE(B32,"s","")</f>
        <v>0</v>
      </c>
      <c r="AG32">
        <f>1-AE32-AF32</f>
        <v>1</v>
      </c>
      <c r="AH32">
        <f>AE32*$AD32</f>
        <v>0</v>
      </c>
      <c r="AI32">
        <f>AF32*$AD32</f>
        <v>0</v>
      </c>
      <c r="AJ32">
        <f>AG32*$AD32</f>
        <v>0</v>
      </c>
    </row>
    <row r="33">
      <c r="A33" t="s">
        <v>167</v>
      </c>
      <c r="B33" s="6" t="s">
        <v>168</v>
      </c>
      <c r="C33" t="s">
        <v>107</v>
      </c>
      <c r="D33" s="9">
        <v>2773</v>
      </c>
      <c r="E33" t="s">
        <v>104</v>
      </c>
      <c r="F33">
        <v>0</v>
      </c>
      <c r="G33" s="8">
        <v>0.013999999999999999</v>
      </c>
      <c r="H33" s="8">
        <v>0.027999999999999997</v>
      </c>
      <c r="I33" s="8">
        <v>0.95799999999999996</v>
      </c>
      <c r="J33" s="8">
        <v>0.033000000000000002</v>
      </c>
      <c r="K33" s="9">
        <v>688169</v>
      </c>
      <c r="L33" s="10">
        <v>0</v>
      </c>
      <c r="M33" s="10">
        <v>0</v>
      </c>
      <c r="N33" s="8">
        <v>0.002</v>
      </c>
      <c r="O33" s="10">
        <v>0</v>
      </c>
      <c r="P33" s="8">
        <v>0.0030000000000000001</v>
      </c>
      <c r="Q33" s="8">
        <v>0.011000000000000001</v>
      </c>
      <c r="R33" s="10">
        <v>0</v>
      </c>
      <c r="S33" s="9">
        <v>33198240</v>
      </c>
      <c r="T33" s="9">
        <v>7218250</v>
      </c>
      <c r="U33" s="9">
        <v>58346377</v>
      </c>
      <c r="V33" s="9">
        <v>199064728</v>
      </c>
      <c r="W33">
        <v>0</v>
      </c>
      <c r="X33">
        <v>36.316000000000003</v>
      </c>
      <c r="Y33">
        <v>19.605</v>
      </c>
      <c r="Z33">
        <v>10.333</v>
      </c>
      <c r="AA33">
        <v>13.257</v>
      </c>
      <c r="AB33" s="9">
        <v>48334</v>
      </c>
      <c r="AC33">
        <v>0</v>
      </c>
      <c r="AD33" s="11">
        <f>0+SUBSTITUTE(B33,"s","")</f>
        <v>0.024</v>
      </c>
      <c r="AG33">
        <f>1-AE33-AF33</f>
        <v>1</v>
      </c>
      <c r="AH33">
        <f>AE33*$AD33</f>
        <v>0</v>
      </c>
      <c r="AI33">
        <f>AF33*$AD33</f>
        <v>0</v>
      </c>
      <c r="AJ33">
        <f>AG33*$AD33</f>
        <v>0.024</v>
      </c>
    </row>
    <row r="34">
      <c r="A34" t="s">
        <v>169</v>
      </c>
      <c r="B34" s="6" t="s">
        <v>170</v>
      </c>
      <c r="C34" t="s">
        <v>154</v>
      </c>
      <c r="D34" s="9">
        <v>3763</v>
      </c>
      <c r="E34" t="s">
        <v>104</v>
      </c>
      <c r="F34">
        <v>0</v>
      </c>
      <c r="G34" s="8">
        <v>0.034000000000000002</v>
      </c>
      <c r="H34" s="8">
        <v>0.035000000000000003</v>
      </c>
      <c r="I34" s="8">
        <v>0.93099999999999994</v>
      </c>
      <c r="J34" s="8">
        <v>0.044999999999999998</v>
      </c>
      <c r="K34" s="9">
        <v>509006</v>
      </c>
      <c r="L34" s="8">
        <v>0.0030000000000000001</v>
      </c>
      <c r="M34" s="10">
        <v>0</v>
      </c>
      <c r="N34" s="8">
        <v>0.0050000000000000001</v>
      </c>
      <c r="O34" s="8">
        <v>0.001</v>
      </c>
      <c r="P34" s="8">
        <v>0.014999999999999999</v>
      </c>
      <c r="Q34" s="8">
        <v>0.019</v>
      </c>
      <c r="R34" s="10">
        <v>0</v>
      </c>
      <c r="S34" s="9">
        <v>84586107</v>
      </c>
      <c r="T34" s="9">
        <v>18239917</v>
      </c>
      <c r="U34" s="9">
        <v>237113425</v>
      </c>
      <c r="V34" s="9">
        <v>298695284</v>
      </c>
      <c r="W34" s="9">
        <v>22480</v>
      </c>
      <c r="X34">
        <v>86.682000000000002</v>
      </c>
      <c r="Y34">
        <v>65.221999999999994</v>
      </c>
      <c r="Z34">
        <v>20.545000000000002</v>
      </c>
      <c r="AA34">
        <v>58.543999999999997</v>
      </c>
      <c r="AB34" s="9">
        <v>763660</v>
      </c>
      <c r="AC34">
        <v>0</v>
      </c>
      <c r="AD34" s="11">
        <f>0+SUBSTITUTE(B34,"s","")</f>
        <v>0.014999999999999999</v>
      </c>
      <c r="AG34">
        <f>1-AE34-AF34</f>
        <v>1</v>
      </c>
      <c r="AH34">
        <f>AE34*$AD34</f>
        <v>0</v>
      </c>
      <c r="AI34">
        <f>AF34*$AD34</f>
        <v>0</v>
      </c>
      <c r="AJ34">
        <f>AG34*$AD34</f>
        <v>0.014999999999999999</v>
      </c>
    </row>
    <row r="35">
      <c r="A35" t="s">
        <v>171</v>
      </c>
      <c r="B35" s="6" t="s">
        <v>119</v>
      </c>
      <c r="C35" t="s">
        <v>136</v>
      </c>
      <c r="D35">
        <v>66</v>
      </c>
      <c r="E35" t="s">
        <v>104</v>
      </c>
      <c r="F35">
        <v>0</v>
      </c>
      <c r="G35" s="10">
        <v>0</v>
      </c>
      <c r="H35" s="10">
        <v>0</v>
      </c>
      <c r="I35" s="10">
        <v>1</v>
      </c>
      <c r="J35" s="10">
        <v>0</v>
      </c>
      <c r="K35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 s="11">
        <f>0+SUBSTITUTE(B35,"s","")</f>
        <v>0.001</v>
      </c>
      <c r="AG35">
        <f>1-AE35-AF35</f>
        <v>1</v>
      </c>
      <c r="AH35">
        <f>AE35*$AD35</f>
        <v>0</v>
      </c>
      <c r="AI35">
        <f>AF35*$AD35</f>
        <v>0</v>
      </c>
      <c r="AJ35">
        <f>AG35*$AD35</f>
        <v>0.001</v>
      </c>
    </row>
    <row r="36">
      <c r="A36" t="s">
        <v>172</v>
      </c>
      <c r="B36" s="6" t="s">
        <v>119</v>
      </c>
      <c r="C36" t="s">
        <v>154</v>
      </c>
      <c r="D36">
        <v>198</v>
      </c>
      <c r="E36" t="s">
        <v>104</v>
      </c>
      <c r="F36">
        <v>0</v>
      </c>
      <c r="G36" s="10">
        <v>0</v>
      </c>
      <c r="H36" s="10">
        <v>0</v>
      </c>
      <c r="I36" s="10">
        <v>1</v>
      </c>
      <c r="J36" s="10">
        <v>0</v>
      </c>
      <c r="K36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 s="11">
        <f>0+SUBSTITUTE(B36,"s","")</f>
        <v>0.001</v>
      </c>
      <c r="AG36">
        <f>1-AE36-AF36</f>
        <v>1</v>
      </c>
      <c r="AH36">
        <f>AE36*$AD36</f>
        <v>0</v>
      </c>
      <c r="AI36">
        <f>AF36*$AD36</f>
        <v>0</v>
      </c>
      <c r="AJ36">
        <f>AG36*$AD36</f>
        <v>0.001</v>
      </c>
    </row>
    <row r="37">
      <c r="A37" t="s">
        <v>173</v>
      </c>
      <c r="B37" s="6" t="s">
        <v>106</v>
      </c>
      <c r="C37" t="s">
        <v>154</v>
      </c>
      <c r="D37">
        <v>66</v>
      </c>
      <c r="E37" t="s">
        <v>104</v>
      </c>
      <c r="F37">
        <v>0</v>
      </c>
      <c r="G37" s="10">
        <v>0</v>
      </c>
      <c r="H37" s="10">
        <v>0</v>
      </c>
      <c r="I37" s="10">
        <v>1</v>
      </c>
      <c r="J37" s="10">
        <v>0</v>
      </c>
      <c r="K37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 s="11">
        <f>0+SUBSTITUTE(B37,"s","")</f>
        <v>0</v>
      </c>
      <c r="AG37">
        <f>1-AE37-AF37</f>
        <v>1</v>
      </c>
      <c r="AH37">
        <f>AE37*$AD37</f>
        <v>0</v>
      </c>
      <c r="AI37">
        <f>AF37*$AD37</f>
        <v>0</v>
      </c>
      <c r="AJ37">
        <f>AG37*$AD37</f>
        <v>0</v>
      </c>
    </row>
    <row r="38">
      <c r="A38" t="s">
        <v>174</v>
      </c>
      <c r="B38" s="6" t="s">
        <v>132</v>
      </c>
      <c r="C38" t="s">
        <v>112</v>
      </c>
      <c r="D38">
        <v>460</v>
      </c>
      <c r="E38" t="s">
        <v>104</v>
      </c>
      <c r="F38">
        <v>0</v>
      </c>
      <c r="G38" s="10">
        <v>0</v>
      </c>
      <c r="H38" s="8">
        <v>0.001</v>
      </c>
      <c r="I38" s="8">
        <v>0.99900000000000011</v>
      </c>
      <c r="J38" s="10">
        <v>0</v>
      </c>
      <c r="K38">
        <v>453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9">
        <v>7302</v>
      </c>
      <c r="T38" s="9">
        <v>6127</v>
      </c>
      <c r="U38" s="9">
        <v>17376</v>
      </c>
      <c r="V38" s="9">
        <v>71300</v>
      </c>
      <c r="W38">
        <v>0</v>
      </c>
      <c r="X38">
        <v>1.9079999999999999</v>
      </c>
      <c r="Y38">
        <v>0.031</v>
      </c>
      <c r="Z38">
        <v>0.32200000000000001</v>
      </c>
      <c r="AA38">
        <v>0.17999999999999999</v>
      </c>
      <c r="AB38">
        <v>96</v>
      </c>
      <c r="AC38">
        <v>0</v>
      </c>
      <c r="AD38" s="11">
        <f>0+SUBSTITUTE(B38,"s","")</f>
        <v>0.002</v>
      </c>
      <c r="AG38">
        <f>1-AE38-AF38</f>
        <v>1</v>
      </c>
      <c r="AH38">
        <f>AE38*$AD38</f>
        <v>0</v>
      </c>
      <c r="AI38">
        <f>AF38*$AD38</f>
        <v>0</v>
      </c>
      <c r="AJ38">
        <f>AG38*$AD38</f>
        <v>0.002</v>
      </c>
    </row>
    <row r="39">
      <c r="A39" t="s">
        <v>175</v>
      </c>
      <c r="B39" s="6" t="s">
        <v>176</v>
      </c>
      <c r="C39" t="s">
        <v>177</v>
      </c>
      <c r="D39" s="9">
        <v>2225</v>
      </c>
      <c r="E39" t="s">
        <v>178</v>
      </c>
      <c r="F39">
        <v>308.608</v>
      </c>
      <c r="G39" s="10">
        <v>0.31</v>
      </c>
      <c r="H39" s="8">
        <v>0.253</v>
      </c>
      <c r="I39" s="8">
        <v>0.43700000000000006</v>
      </c>
      <c r="J39" s="8">
        <v>0.28300000000000003</v>
      </c>
      <c r="K39" s="9">
        <v>3949008</v>
      </c>
      <c r="L39" s="10">
        <v>0.029999999999999999</v>
      </c>
      <c r="M39" s="10">
        <v>0</v>
      </c>
      <c r="N39" s="8">
        <v>0.070999999999999994</v>
      </c>
      <c r="O39" s="8">
        <v>0.013999999999999999</v>
      </c>
      <c r="P39" s="8">
        <v>0.14499999999999999</v>
      </c>
      <c r="Q39" s="8">
        <v>0.156</v>
      </c>
      <c r="R39" s="10">
        <v>0</v>
      </c>
      <c r="S39" s="9">
        <v>7440230788</v>
      </c>
      <c r="T39" s="9">
        <v>1482849950</v>
      </c>
      <c r="U39" s="9">
        <v>15250723040</v>
      </c>
      <c r="V39" s="9">
        <v>16489553012</v>
      </c>
      <c r="W39" s="9">
        <v>607131</v>
      </c>
      <c r="X39">
        <v>154.27500000000001</v>
      </c>
      <c r="Y39">
        <v>193.72200000000001</v>
      </c>
      <c r="Z39">
        <v>92.460999999999999</v>
      </c>
      <c r="AA39">
        <v>142.25299999999999</v>
      </c>
      <c r="AB39" s="9">
        <v>80100261</v>
      </c>
      <c r="AC39">
        <v>0</v>
      </c>
      <c r="AD39" s="11">
        <f>0+SUBSTITUTE(B39,"s","")</f>
        <v>0.153</v>
      </c>
      <c r="AG39">
        <f>1-AE39-AF39</f>
        <v>1</v>
      </c>
      <c r="AH39">
        <f>AE39*$AD39</f>
        <v>0</v>
      </c>
      <c r="AI39">
        <f>AF39*$AD39</f>
        <v>0</v>
      </c>
      <c r="AJ39">
        <f>AG39*$AD39</f>
        <v>0.153</v>
      </c>
    </row>
    <row r="40">
      <c r="A40" t="s">
        <v>179</v>
      </c>
      <c r="B40" s="6" t="s">
        <v>106</v>
      </c>
      <c r="C40" t="s">
        <v>147</v>
      </c>
      <c r="D40">
        <v>1</v>
      </c>
      <c r="E40" t="s">
        <v>180</v>
      </c>
      <c r="F40" s="17">
        <v>1066.857</v>
      </c>
      <c r="G40" s="10">
        <v>0</v>
      </c>
      <c r="H40" s="10">
        <v>0</v>
      </c>
      <c r="I40" s="10">
        <v>1</v>
      </c>
      <c r="J40" s="10">
        <v>0</v>
      </c>
      <c r="K4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 s="11">
        <f>0+SUBSTITUTE(B40,"s","")</f>
        <v>0</v>
      </c>
      <c r="AG40">
        <f>1-AE40-AF40</f>
        <v>1</v>
      </c>
      <c r="AH40">
        <f>AE40*$AD40</f>
        <v>0</v>
      </c>
      <c r="AI40">
        <f>AF40*$AD40</f>
        <v>0</v>
      </c>
      <c r="AJ40">
        <f>AG40*$AD40</f>
        <v>0</v>
      </c>
    </row>
    <row r="41">
      <c r="B41" s="6"/>
      <c r="AD41" s="18">
        <f>SUM(AD2:AD40)</f>
        <v>3.4699999999999984</v>
      </c>
      <c r="AE41" s="19"/>
      <c r="AF41" s="19"/>
      <c r="AG41" s="19"/>
      <c r="AH41" s="12">
        <f>SUM(AH2:AH40)</f>
        <v>0</v>
      </c>
      <c r="AI41" s="12">
        <f>SUM(AI2:AI40)</f>
        <v>0.60099999999999998</v>
      </c>
      <c r="AJ41" s="12">
        <f>SUM(AJ2:AJ40)</f>
        <v>2.8689999999999984</v>
      </c>
    </row>
    <row r="42">
      <c r="AH42" s="14">
        <f>AH41/$AD$41</f>
        <v>0</v>
      </c>
      <c r="AI42" s="14">
        <f>AI41/$AD$41</f>
        <v>0.17319884726224791</v>
      </c>
      <c r="AJ42" s="14">
        <f>AJ41/$AD$41</f>
        <v>0.82680115273775212</v>
      </c>
    </row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conditionalFormatting sqref="AD2:AD40">
    <cfRule type="colorScale" priority="1">
      <colorScale>
        <cfvo type="min" val="&quot;&quot;"/>
        <cfvo type="max" val="&quot;&quot;"/>
        <color theme="9" tint="0.79998168889431442"/>
        <color rgb="FFFAD5D5"/>
      </colorScale>
    </cfRule>
  </conditionalFormatting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23.57421875"/>
    <col bestFit="1" min="2" max="2" width="5.8515625"/>
    <col bestFit="1" customWidth="1" min="3" max="3" width="21.00390625"/>
    <col bestFit="1" min="4" max="4" width="35.140625"/>
    <col customWidth="1" min="5" max="5" width="30.00390625"/>
    <col bestFit="1" min="6" max="6" width="21.421875"/>
    <col bestFit="1" min="7" max="7" width="4.7109375"/>
    <col bestFit="1" min="8" max="8" width="5.28125"/>
    <col bestFit="1" min="9" max="9" width="5.57421875"/>
    <col bestFit="1" min="10" max="10" width="7.140625"/>
    <col bestFit="1" min="11" max="11" width="5.28125"/>
    <col bestFit="1" min="12" max="12" width="3.57421875"/>
    <col bestFit="1" min="16" max="16" width="10.8515625"/>
    <col customWidth="1" min="17" max="17" width="26.7109375"/>
  </cols>
  <sheetData>
    <row r="1">
      <c r="H1" t="s">
        <v>181</v>
      </c>
      <c r="I1" t="s">
        <v>182</v>
      </c>
      <c r="J1" t="s">
        <v>183</v>
      </c>
      <c r="K1" t="s">
        <v>184</v>
      </c>
    </row>
    <row r="2">
      <c r="A2" t="s">
        <v>185</v>
      </c>
      <c r="B2" t="s">
        <v>186</v>
      </c>
      <c r="C2" t="s">
        <v>187</v>
      </c>
      <c r="D2" t="s">
        <v>188</v>
      </c>
      <c r="E2" t="s">
        <v>189</v>
      </c>
      <c r="F2" t="s">
        <v>190</v>
      </c>
      <c r="G2" t="s">
        <v>191</v>
      </c>
      <c r="H2">
        <v>9.5999999999999996</v>
      </c>
      <c r="I2">
        <v>20.449999999999999</v>
      </c>
      <c r="J2">
        <v>21.02</v>
      </c>
      <c r="K2">
        <v>21.16</v>
      </c>
      <c r="L2" t="s">
        <v>192</v>
      </c>
      <c r="Q2" s="20" t="s">
        <v>193</v>
      </c>
    </row>
    <row r="3">
      <c r="A3" t="s">
        <v>194</v>
      </c>
      <c r="B3" t="s">
        <v>186</v>
      </c>
      <c r="C3" t="s">
        <v>187</v>
      </c>
      <c r="D3" t="s">
        <v>188</v>
      </c>
      <c r="E3" t="s">
        <v>189</v>
      </c>
      <c r="F3" t="s">
        <v>190</v>
      </c>
      <c r="G3" t="s">
        <v>191</v>
      </c>
      <c r="H3">
        <v>13.41</v>
      </c>
      <c r="I3">
        <v>20.149999999999999</v>
      </c>
      <c r="J3">
        <v>20.52</v>
      </c>
      <c r="K3">
        <v>20.75</v>
      </c>
      <c r="L3" t="s">
        <v>192</v>
      </c>
      <c r="Q3" s="20"/>
    </row>
    <row r="4">
      <c r="A4" t="s">
        <v>195</v>
      </c>
      <c r="B4" t="s">
        <v>186</v>
      </c>
      <c r="C4" t="s">
        <v>187</v>
      </c>
      <c r="D4" t="s">
        <v>188</v>
      </c>
      <c r="E4" t="s">
        <v>189</v>
      </c>
      <c r="F4" t="s">
        <v>190</v>
      </c>
      <c r="G4" t="s">
        <v>191</v>
      </c>
      <c r="H4">
        <v>13.720000000000001</v>
      </c>
      <c r="I4">
        <v>19.859999999999999</v>
      </c>
      <c r="J4">
        <v>19.350000000000001</v>
      </c>
      <c r="K4">
        <v>22.010000000000002</v>
      </c>
      <c r="L4" t="s">
        <v>192</v>
      </c>
      <c r="M4">
        <f>STDEV(H2:H4)/AVERAGE(H2:H4)*100</f>
        <v>18.740282852691443</v>
      </c>
      <c r="N4">
        <f>STDEV(I2:I4)/AVERAGE(I2:I4)*100</f>
        <v>1.4638477867466417</v>
      </c>
      <c r="O4">
        <f>STDEV(J2:J4)/AVERAGE(J2:J4)*100</f>
        <v>4.2228980405069967</v>
      </c>
      <c r="P4">
        <f>STDEV(K2:K4)/AVERAGE(K2:K4)*100</f>
        <v>3.0163174010526634</v>
      </c>
      <c r="Q4" s="20"/>
    </row>
    <row r="5">
      <c r="A5" t="s">
        <v>196</v>
      </c>
      <c r="B5" t="s">
        <v>186</v>
      </c>
      <c r="C5" t="s">
        <v>187</v>
      </c>
      <c r="D5" t="s">
        <v>188</v>
      </c>
      <c r="E5" t="s">
        <v>197</v>
      </c>
      <c r="F5" t="s">
        <v>190</v>
      </c>
      <c r="G5" t="s">
        <v>191</v>
      </c>
      <c r="H5">
        <v>4.9100000000000001</v>
      </c>
      <c r="I5">
        <v>6.7599999999999998</v>
      </c>
      <c r="J5">
        <v>6.7999999999999998</v>
      </c>
      <c r="K5">
        <v>6.8499999999999996</v>
      </c>
      <c r="L5" t="s">
        <v>192</v>
      </c>
      <c r="Q5" s="20"/>
    </row>
    <row r="6">
      <c r="A6" t="s">
        <v>198</v>
      </c>
      <c r="B6" t="s">
        <v>186</v>
      </c>
      <c r="C6" t="s">
        <v>187</v>
      </c>
      <c r="D6" t="s">
        <v>188</v>
      </c>
      <c r="E6" t="s">
        <v>197</v>
      </c>
      <c r="F6" t="s">
        <v>190</v>
      </c>
      <c r="G6" t="s">
        <v>191</v>
      </c>
      <c r="H6">
        <v>5.2199999999999998</v>
      </c>
      <c r="I6">
        <v>6.7800000000000002</v>
      </c>
      <c r="J6">
        <v>6.8200000000000003</v>
      </c>
      <c r="K6">
        <v>6.8600000000000003</v>
      </c>
      <c r="L6" t="s">
        <v>192</v>
      </c>
      <c r="Q6" s="20"/>
    </row>
    <row r="7">
      <c r="A7" t="s">
        <v>199</v>
      </c>
      <c r="B7" t="s">
        <v>186</v>
      </c>
      <c r="C7" t="s">
        <v>187</v>
      </c>
      <c r="D7" t="s">
        <v>188</v>
      </c>
      <c r="E7" t="s">
        <v>197</v>
      </c>
      <c r="F7" t="s">
        <v>190</v>
      </c>
      <c r="G7" t="s">
        <v>191</v>
      </c>
      <c r="H7">
        <v>5.2000000000000002</v>
      </c>
      <c r="I7">
        <v>6.7699999999999996</v>
      </c>
      <c r="J7">
        <v>6.8099999999999996</v>
      </c>
      <c r="K7">
        <v>6.8600000000000003</v>
      </c>
      <c r="L7" t="s">
        <v>192</v>
      </c>
      <c r="M7" s="3">
        <f>STDEV(H5:H7)/AVERAGE(H5:H7)*100</f>
        <v>3.3951764330523408</v>
      </c>
      <c r="N7" s="3">
        <f>STDEV(I5:I7)/AVERAGE(I5:I7)*100</f>
        <v>0.14771048744461199</v>
      </c>
      <c r="O7" s="3">
        <f>STDEV(J5:J7)/AVERAGE(J5:J7)*100</f>
        <v>0.14684287812041455</v>
      </c>
      <c r="P7" s="3">
        <f>STDEV(K5:K7)/AVERAGE(K5:K7)*100</f>
        <v>0.084202761670831031</v>
      </c>
      <c r="Q7" s="20"/>
    </row>
    <row r="8">
      <c r="A8" t="s">
        <v>200</v>
      </c>
      <c r="B8" t="s">
        <v>186</v>
      </c>
      <c r="C8" t="s">
        <v>187</v>
      </c>
      <c r="D8" t="s">
        <v>188</v>
      </c>
      <c r="E8" t="s">
        <v>201</v>
      </c>
      <c r="F8" t="s">
        <v>190</v>
      </c>
      <c r="G8" t="s">
        <v>191</v>
      </c>
      <c r="H8">
        <v>6.3600000000000003</v>
      </c>
      <c r="I8">
        <v>9.1799999999999997</v>
      </c>
      <c r="J8">
        <v>9.2599999999999998</v>
      </c>
      <c r="K8">
        <v>9.3300000000000001</v>
      </c>
      <c r="L8" t="s">
        <v>192</v>
      </c>
      <c r="Q8" s="20"/>
    </row>
    <row r="9">
      <c r="A9" t="s">
        <v>202</v>
      </c>
      <c r="B9" t="s">
        <v>186</v>
      </c>
      <c r="C9" t="s">
        <v>187</v>
      </c>
      <c r="D9" t="s">
        <v>188</v>
      </c>
      <c r="E9" t="s">
        <v>201</v>
      </c>
      <c r="F9" t="s">
        <v>190</v>
      </c>
      <c r="G9" t="s">
        <v>191</v>
      </c>
      <c r="H9">
        <v>6.3799999999999999</v>
      </c>
      <c r="I9">
        <v>9.1699999999999999</v>
      </c>
      <c r="J9">
        <v>9.2300000000000004</v>
      </c>
      <c r="K9">
        <v>9.3399999999999999</v>
      </c>
      <c r="L9" t="s">
        <v>192</v>
      </c>
      <c r="Q9" s="20"/>
    </row>
    <row r="10">
      <c r="A10" t="s">
        <v>203</v>
      </c>
      <c r="B10" t="s">
        <v>186</v>
      </c>
      <c r="C10" t="s">
        <v>187</v>
      </c>
      <c r="D10" t="s">
        <v>188</v>
      </c>
      <c r="E10" t="s">
        <v>201</v>
      </c>
      <c r="F10" t="s">
        <v>190</v>
      </c>
      <c r="G10" t="s">
        <v>191</v>
      </c>
      <c r="H10">
        <v>6.1699999999999999</v>
      </c>
      <c r="I10">
        <v>9.1899999999999995</v>
      </c>
      <c r="J10">
        <v>9.2799999999999994</v>
      </c>
      <c r="K10">
        <v>9.3399999999999999</v>
      </c>
      <c r="L10" t="s">
        <v>192</v>
      </c>
      <c r="M10" s="3">
        <f>STDEV(H8:H10)/AVERAGE(H8:H10)*100</f>
        <v>1.8387454945228685</v>
      </c>
      <c r="N10" s="3">
        <f>STDEV(I8:I10)/AVERAGE(I8:I10)*100</f>
        <v>0.10893246187363603</v>
      </c>
      <c r="O10" s="3">
        <f>STDEV(J8:J10)/AVERAGE(J8:J10)*100</f>
        <v>0.27187016331546948</v>
      </c>
      <c r="P10" s="3">
        <f>STDEV(K8:K10)/AVERAGE(K8:K10)*100</f>
        <v>0.061836872815738672</v>
      </c>
      <c r="Q10" s="20"/>
    </row>
    <row r="11">
      <c r="M11">
        <f>MAX(M4:M10)</f>
        <v>18.740282852691443</v>
      </c>
      <c r="N11">
        <f>MAX(N4:N10)</f>
        <v>1.4638477867466417</v>
      </c>
      <c r="O11">
        <f>MAX(O4:O10)</f>
        <v>4.2228980405069967</v>
      </c>
      <c r="P11">
        <f>MAX(P4:P10)</f>
        <v>3.0163174010526634</v>
      </c>
      <c r="Q11" t="s">
        <v>184</v>
      </c>
    </row>
    <row r="12">
      <c r="M12" s="3">
        <f>AVERAGE(M5:M11)</f>
        <v>7.9914015934222178</v>
      </c>
      <c r="N12" s="3">
        <f>AVERAGE(N5:N11)</f>
        <v>0.57349691202162989</v>
      </c>
      <c r="O12" s="3">
        <f>AVERAGE(O5:O11)</f>
        <v>1.5472036939809604</v>
      </c>
      <c r="P12" s="3">
        <f>AVERAGE(P5:P11)</f>
        <v>1.054119011846411</v>
      </c>
      <c r="Q12" t="s">
        <v>204</v>
      </c>
    </row>
    <row r="14">
      <c r="M14" t="s">
        <v>205</v>
      </c>
    </row>
  </sheetData>
  <sortState ref="A2:L11" columnSort="0">
    <sortCondition sortBy="value" descending="0" ref="E2:E11"/>
  </sortState>
  <mergeCells count="1">
    <mergeCell ref="Q2:Q10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13.28125"/>
    <col customWidth="1" min="2" max="4" width="12.140625"/>
  </cols>
  <sheetData>
    <row r="1" ht="14.25">
      <c r="B1" t="s">
        <v>0</v>
      </c>
      <c r="C1" t="s">
        <v>1</v>
      </c>
      <c r="D1" t="s">
        <v>2</v>
      </c>
    </row>
    <row r="2" ht="14.25">
      <c r="A2" t="s">
        <v>33</v>
      </c>
      <c r="B2">
        <v>7.4500000000000002</v>
      </c>
      <c r="C2">
        <v>10.01</v>
      </c>
      <c r="D2">
        <v>27.27</v>
      </c>
    </row>
    <row r="3" ht="14.25">
      <c r="A3" t="s">
        <v>34</v>
      </c>
      <c r="B3">
        <v>6.4199999999999999</v>
      </c>
      <c r="C3">
        <v>14.91</v>
      </c>
      <c r="D3">
        <v>33.369999999999997</v>
      </c>
    </row>
    <row r="4" ht="14.25">
      <c r="A4" t="s">
        <v>206</v>
      </c>
      <c r="B4">
        <v>11.9</v>
      </c>
      <c r="C4">
        <v>10.27</v>
      </c>
      <c r="D4">
        <v>20.829999999999998</v>
      </c>
    </row>
    <row r="7" ht="14.25">
      <c r="A7" t="s">
        <v>32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ONLYOFFICE/8.3.2.19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2025-04-03T10:44:30Z</dcterms:modified>
</cp:coreProperties>
</file>