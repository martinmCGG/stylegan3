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threadedComments/threadedComment2.xml" ContentType="application/vnd.ms-excel.threadedcomments+xml"/>
  <Override PartName="/xl/worksheets/sheet1.xml" ContentType="application/vnd.openxmlformats-officedocument.spreadsheetml.worksheet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harts/style3.xml" ContentType="application/vnd.ms-office.chartstyle+xml"/>
  <Override PartName="/xl/charts/chart3.xml" ContentType="application/vnd.openxmlformats-officedocument.drawingml.chart+xml"/>
  <Override PartName="/xl/charts/colors2.xml" ContentType="application/vnd.ms-office.chartcolorstyle+xml"/>
  <Override PartName="/xl/persons/person.xml" ContentType="application/vnd.ms-excel.person+xml"/>
  <Override PartName="/xl/charts/style2.xml" ContentType="application/vnd.ms-office.chartstyle+xml"/>
  <Override PartName="/xl/charts/chart2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current" sheetId="1" state="visible" r:id="rId2"/>
    <sheet name="stddev of metrics" sheetId="2" state="visible" r:id="rId3"/>
    <sheet name="backup" sheetId="3" state="visible" r:id="rId4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tc={5D1DD697-3B31-24C3-D1FC-4F10BC94625B}</author>
    <author>tc={1CB70762-CB98-18A3-8B23-8B0C43552DB3}</author>
    <author>tc={44FE1040-EA6E-1D7C-5CD3-EEAB189226D0}</author>
    <author>tc={D60FF92D-CD85-77A7-BAF7-B50E5A8F386D}</author>
    <author>tc={0A840647-343D-ECD8-EE73-9B5128B511C0}</author>
    <author>tc={9885B1C3-AB22-94B7-30B7-E8A667F23725}</author>
    <author>tc={07C5CB9B-011A-F201-BE01-B6ED5DCC747A}</author>
    <author>tc={3D18DD77-473E-3CE6-83E6-86E80A773716}</author>
  </authors>
  <commentList>
    <comment ref="A2" authorId="0" xr:uid="{5D1DD697-3B31-24C3-D1FC-4F10BC94625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exact pytorch version: 2.1.0.post3+cxx11.abi
</t>
        </r>
      </text>
    </comment>
    <comment ref="A12" authorId="1" xr:uid="{1CB70762-CB98-18A3-8B23-8B0C43552DB3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heads/debug_profiling-0-gb9cee85 with "stylegan" environment
re-measure with current commit
</t>
        </r>
      </text>
    </comment>
    <comment ref="E18" authorId="2" xr:uid="{44FE1040-EA6E-1D7C-5CD3-EEAB189226D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TODO try upgrading and re-measuring
</t>
        </r>
      </text>
    </comment>
    <comment ref="A3" authorId="3" xr:uid="{D60FF92D-CD85-77A7-BAF7-B50E5A8F386D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heads/debug_profiling-0-gdab3304 with "ENVNAME=stylegan3_2_1_40_xpu"
re-measured current commit, with current GPU driver
</t>
        </r>
      </text>
    </comment>
    <comment ref="A4" authorId="4" xr:uid="{0A840647-343D-ECD8-EE73-9B5128B511C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heads/debug_profiling-0-gdab3304 with "ENVNAME=stylegan3_2_3_110_xpu"
torch 2.3.1+cxx11.abi
</t>
        </r>
      </text>
    </comment>
    <comment ref="A5" authorId="5" xr:uid="{9885B1C3-AB22-94B7-30B7-E8A667F23725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on a VM instance on Intel Tiber Developer Cloud
</t>
        </r>
      </text>
    </comment>
    <comment ref="A6" authorId="6" xr:uid="{07C5CB9B-011A-F201-BE01-B6ED5DCC747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  <comment ref="A7" authorId="7" xr:uid="{3D18DD77-473E-3CE6-83E6-86E80A773716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heads/debug_profiling-0-gb9cee85 with "stylegan" environment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tc={FBA8A04F-1144-D4CE-3955-9139357F1DF7}</author>
    <author>tc={49BA0359-1DD6-6E69-0623-10EC65534207}</author>
    <author>tc={71B80EF3-EE31-C54E-AB34-BCEA6BB0C751}</author>
  </authors>
  <commentList>
    <comment ref="A2" authorId="0" xr:uid="{FBA8A04F-1144-D4CE-3955-9139357F1DF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A3" authorId="1" xr:uid="{49BA0359-1DD6-6E69-0623-10EC6553420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</t>
        </r>
      </text>
    </comment>
    <comment ref="A4" authorId="2" xr:uid="{71B80EF3-EE31-C54E-AB34-BCEA6BB0C751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sharedStrings.xml><?xml version="1.0" encoding="utf-8"?>
<sst xmlns="http://schemas.openxmlformats.org/spreadsheetml/2006/main" count="71" uniqueCount="71">
  <si>
    <t>stylegan3-r</t>
  </si>
  <si>
    <t>stylegan3-t</t>
  </si>
  <si>
    <t>stylegan2</t>
  </si>
  <si>
    <t xml:space="preserve">&lt; source</t>
  </si>
  <si>
    <t xml:space="preserve">A770 (XPU, PyTorch 2.1.x)</t>
  </si>
  <si>
    <t xml:space="preserve">bench log 2024-12-03.html</t>
  </si>
  <si>
    <t xml:space="preserve">runs.log, 2025-03-27T15:25</t>
  </si>
  <si>
    <t xml:space="preserve">A770 (XPU, PyTorch 2.3.x)</t>
  </si>
  <si>
    <t xml:space="preserve">runs.log, 2025-03-28T17:10-11</t>
  </si>
  <si>
    <t xml:space="preserve">PVC Max 1100 (XPU, PyTorch 2.1.x)</t>
  </si>
  <si>
    <t xml:space="preserve">Intel PVC VM stylegan3 more speed measurements (before+after the 5x speedup commit and -01 vs -O3) 2024-11-21.txt</t>
  </si>
  <si>
    <t xml:space="preserve">1080Ti (CUDA, PyTorch 1.9.1)</t>
  </si>
  <si>
    <t xml:space="preserve">runs.log, 2025-03-28T17:35-36</t>
  </si>
  <si>
    <t xml:space="preserve">1080Ti (CUDA, PyTorch 2.1.2)</t>
  </si>
  <si>
    <t xml:space="preserve">bench log 2024-12-04.html</t>
  </si>
  <si>
    <t xml:space="preserve">A770 ("ref", PyTorch 2.1.x)</t>
  </si>
  <si>
    <t xml:space="preserve">A770 ("ref", PyTorch 2.3.x)</t>
  </si>
  <si>
    <t xml:space="preserve">runs.log, 2025-03-27T17:45-48</t>
  </si>
  <si>
    <t xml:space="preserve">1080Ti ("ref", PyTorch 1.9.1)</t>
  </si>
  <si>
    <t xml:space="preserve">runs.log, 2025-03-27T17:38-44</t>
  </si>
  <si>
    <t xml:space="preserve">1080Ti ("ref", PyTorch 2.1.2)</t>
  </si>
  <si>
    <t xml:space="preserve">Notes: measured with "./bench3.sh" (gen_video.py with [network_variant]-afhqv2-512x512.pkl), always using the median value as the result</t>
  </si>
  <si>
    <t>A770</t>
  </si>
  <si>
    <t xml:space="preserve">PVC Max 1100</t>
  </si>
  <si>
    <t>1080Ti</t>
  </si>
  <si>
    <t>versions</t>
  </si>
  <si>
    <t>pytorch</t>
  </si>
  <si>
    <t xml:space="preserve">2.1.40+xpu, then 2.3.110+xpu</t>
  </si>
  <si>
    <t>2.1.40+xpu</t>
  </si>
  <si>
    <t xml:space="preserve">1.9.1 (py3.9_cuda11.1_cudnn8.0.5_0), and later re-measured with 2.1.2 (py3.9_cuda12.1_cudnn8.9.2_0)</t>
  </si>
  <si>
    <t>driver</t>
  </si>
  <si>
    <t xml:space="preserve">intel-i915-dkms 1.24.3.23.240419.26+i30-1, then intel-i915-dkms 1.24.6.12.240823.13+i14-1</t>
  </si>
  <si>
    <t>?</t>
  </si>
  <si>
    <t xml:space="preserve">Driver Version: 535.183.01</t>
  </si>
  <si>
    <t xml:space="preserve">level zero</t>
  </si>
  <si>
    <t xml:space="preserve">intel-level-zero-gpu 1.3.29735.27-914~22.04, then libze-intel-gpu1 24.39.31294.20-1032~22.04</t>
  </si>
  <si>
    <t xml:space="preserve">CUDA Version: 12.2</t>
  </si>
  <si>
    <t xml:space="preserve">comparing matching PyTorh versions (major.minor):</t>
  </si>
  <si>
    <t xml:space="preserve">1080Ti (speedup "ref" -&gt; CUDA, PyTorch 1.9.1)</t>
  </si>
  <si>
    <t xml:space="preserve">1080Ti (speedup "ref" -&gt; CUDA, PyTorch 2.1.2)</t>
  </si>
  <si>
    <t xml:space="preserve">A770 (speedup "ref" -&gt; XPU, PyTorch 2.1.x)</t>
  </si>
  <si>
    <t xml:space="preserve">A770 (speedup "ref" -&gt; XPU, PyTorch 2.3.x)</t>
  </si>
  <si>
    <t xml:space="preserve">&lt;- PT/IPEX 2.3 is slower than 2.1</t>
  </si>
  <si>
    <t xml:space="preserve">"ref" speedup A770 vs 1080Ti (PyTorch 2.1.x vs 1.9.1)</t>
  </si>
  <si>
    <t xml:space="preserve">"ref" speedup A770 vs 1080Ti (PyTorch 2.1.x vs 2.1.2)</t>
  </si>
  <si>
    <t>min</t>
  </si>
  <si>
    <t>mean</t>
  </si>
  <si>
    <t>median</t>
  </si>
  <si>
    <t>max</t>
  </si>
  <si>
    <t>2025-03-27T15:36:46+01:00</t>
  </si>
  <si>
    <t>Z790P</t>
  </si>
  <si>
    <t>stylegan3_2_3_110_xpu</t>
  </si>
  <si>
    <t>heads/debug_profiling-0-gdab3304-dirty</t>
  </si>
  <si>
    <t>stylegan2-afhqv2-512x512.pkl</t>
  </si>
  <si>
    <t>min/mean/median/max</t>
  </si>
  <si>
    <t>rate:</t>
  </si>
  <si>
    <t>it/s</t>
  </si>
  <si>
    <t xml:space="preserve">inter-run standard deviation (percentage of average value)</t>
  </si>
  <si>
    <t>2025-03-27T17:11:15+01:00</t>
  </si>
  <si>
    <t>2025-03-27T17:14:01+01:00</t>
  </si>
  <si>
    <t>2025-03-27T15:33:32+01:00</t>
  </si>
  <si>
    <t>stylegan3-r-afhqv2-512x512.pkl</t>
  </si>
  <si>
    <t>2025-03-27T17:10:37+01:00</t>
  </si>
  <si>
    <t>2025-03-27T17:13:23+01:00</t>
  </si>
  <si>
    <t>2025-03-27T15:36:29+01:00</t>
  </si>
  <si>
    <t>stylegan3-t-afhqv2-512x512.pkl</t>
  </si>
  <si>
    <t>2025-03-27T17:10:57+01:00</t>
  </si>
  <si>
    <t>2025-03-27T17:13:43+01:00</t>
  </si>
  <si>
    <t>avg</t>
  </si>
  <si>
    <t xml:space="preserve">-&gt; we should probably measure the average it/s or max it/s rather than the currently used median speed</t>
  </si>
  <si>
    <t xml:space="preserve">1080Ti (CUDA)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</si>
</sst>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">
    <xf fontId="0" fillId="0" borderId="0" numFmtId="0" xfId="0"/>
    <xf fontId="1" fillId="0" borderId="0" numFmtId="0" xfId="0" applyFont="1"/>
    <xf fontId="0" fillId="0" borderId="0" numFmtId="2" xfId="0" applyNumberFormat="1"/>
    <xf fontId="0" fillId="0" borderId="0" numFmtId="0" xfId="0">
      <protection hidden="0" locked="1"/>
    </xf>
    <xf fontId="0" fillId="0" borderId="0" numFmtId="0" xfId="0"/>
    <xf fontId="0" fillId="0" borderId="0" numFmtId="0" xfId="0">
      <protection hidden="0" locked="1"/>
    </xf>
    <xf fontId="0" fillId="0" borderId="0" numFmtId="0" xfId="0"/>
    <xf fontId="0" fillId="0" borderId="0" numFmtId="2" xfId="0" applyNumberFormat="1"/>
    <xf fontId="0" fillId="0" borderId="0" numFmt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74540"/>
          <c:y val="0.120810"/>
          <c:w val="0.911380"/>
          <c:h val="0.72931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current!$A$5</c:f>
              <c:strCache>
                <c:ptCount val="1"/>
                <c:pt idx="0">
                  <c:v>PVC Max 1100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current!$B$5:$D$5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current!$A$6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current!$B$6:$D$6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ser>
          <c:idx val="3"/>
          <c:order val="3"/>
          <c:tx>
            <c:strRef>
              <c:f>current!$A$8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current!$B$8:$D$8</c:f>
              <c:numCache>
                <c:formatCode>General</c:formatCode>
                <c:ptCount val="3"/>
                <c:pt idx="0">
                  <c:v>13.86</c:v>
                </c:pt>
                <c:pt idx="1">
                  <c:v>7.04</c:v>
                </c:pt>
                <c:pt idx="2">
                  <c:v>36.68</c:v>
                </c:pt>
              </c:numCache>
            </c:numRef>
          </c:val>
        </c:ser>
        <c:ser>
          <c:idx val="4"/>
          <c:order val="4"/>
          <c:tx>
            <c:strRef>
              <c:f>current!$A$9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current!$B$9:$D$9</c:f>
              <c:numCache>
                <c:formatCode>General</c:formatCode>
                <c:ptCount val="3"/>
                <c:pt idx="0">
                  <c:v>1.01</c:v>
                </c:pt>
                <c:pt idx="1">
                  <c:v>1.77</c:v>
                </c:pt>
                <c:pt idx="2">
                  <c:v>24.52</c:v>
                </c:pt>
              </c:numCache>
            </c:numRef>
          </c:val>
        </c:ser>
        <c:ser>
          <c:idx val="5"/>
          <c:order val="5"/>
          <c:tx>
            <c:strRef>
              <c:f>current!$A$12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current!$B$12:$D$12</c:f>
              <c:numCache>
                <c:formatCode>General</c:formatCode>
                <c:ptCount val="3"/>
                <c:pt idx="0">
                  <c:v>0.24</c:v>
                </c:pt>
                <c:pt idx="1">
                  <c:v>0.92</c:v>
                </c:pt>
                <c:pt idx="2">
                  <c:v>15.13</c:v>
                </c:pt>
              </c:numCache>
            </c:numRef>
          </c:val>
        </c:ser>
        <c:ser>
          <c:idx val="6"/>
          <c:order val="6"/>
          <c:tx>
            <c:strRef>
              <c:f>current!$A$14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current!$B$14:$D$14</c:f>
              <c:numCache>
                <c:formatCode>General</c:formatCode>
                <c:ptCount val="3"/>
                <c:pt idx="0">
                  <c:v>0.23</c:v>
                </c:pt>
                <c:pt idx="1">
                  <c:v>0.82</c:v>
                </c:pt>
                <c:pt idx="2">
                  <c:v>22.7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721"/>
        <c:axId val="2140841722"/>
      </c:barChart>
      <c:catAx>
        <c:axId val="2140841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22"/>
        <c:crosses val="autoZero"/>
        <c:auto val="1"/>
        <c:lblAlgn val="ctr"/>
        <c:lblOffset val="100"/>
        <c:tickMarkSkip val="1"/>
        <c:noMultiLvlLbl val="0"/>
      </c:catAx>
      <c:valAx>
        <c:axId val="21408417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 rot="0" vert="horz"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txPr>
            <a:bodyPr rot="0" vert="horz"/>
            <a:p>
              <a:pPr>
                <a:defRPr/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7524747" y="1885947"/>
      <a:ext cx="8124824" cy="45910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A770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current!$B$3:$D$3</c:f>
              <c:numCache>
                <c:formatCode>General</c:formatCode>
                <c:ptCount val="3"/>
                <c:pt idx="0">
                  <c:v>7.26</c:v>
                </c:pt>
                <c:pt idx="1">
                  <c:v>9.98</c:v>
                </c:pt>
                <c:pt idx="2">
                  <c:v>27.23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A770 (XPU,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current!$B$4:$D$4</c:f>
              <c:numCache>
                <c:formatCode>General</c:formatCode>
                <c:ptCount val="3"/>
                <c:pt idx="0">
                  <c:v>6.83</c:v>
                </c:pt>
                <c:pt idx="1">
                  <c:v>9.29</c:v>
                </c:pt>
                <c:pt idx="2">
                  <c:v>21.14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PVC Max 1100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current!$B$5:$D$5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current!$B$6:$D$6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current!$B$7:$D$7</c:f>
              <c:numCache>
                <c:formatCode>General</c:formatCode>
                <c:ptCount val="3"/>
                <c:pt idx="0">
                  <c:v>12.63</c:v>
                </c:pt>
                <c:pt idx="1">
                  <c:v>10.9</c:v>
                </c:pt>
                <c:pt idx="2">
                  <c:v>22.07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current!$B$8:$D$8</c:f>
              <c:numCache>
                <c:formatCode>General</c:formatCode>
                <c:ptCount val="3"/>
                <c:pt idx="0">
                  <c:v>13.86</c:v>
                </c:pt>
                <c:pt idx="1">
                  <c:v>7.04</c:v>
                </c:pt>
                <c:pt idx="2">
                  <c:v>36.68</c:v>
                </c:pt>
              </c:numCache>
            </c:numRef>
          </c:val>
        </c:ser>
        <c:ser>
          <c:idx val="7"/>
          <c:order val="7"/>
          <c:tx>
            <c:strRef>
              <c:f>current!$A$9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>
                <a:lumMod val="60000"/>
              </a:schemeClr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current!$B$9:$D$9</c:f>
              <c:numCache>
                <c:formatCode>General</c:formatCode>
                <c:ptCount val="3"/>
                <c:pt idx="0">
                  <c:v>1.01</c:v>
                </c:pt>
                <c:pt idx="1">
                  <c:v>1.77</c:v>
                </c:pt>
                <c:pt idx="2">
                  <c:v>24.52</c:v>
                </c:pt>
              </c:numCache>
            </c:numRef>
          </c:val>
        </c:ser>
        <c:ser>
          <c:idx val="8"/>
          <c:order val="8"/>
          <c:tx>
            <c:strRef>
              <c:f>current!$A$11</c:f>
              <c:strCache>
                <c:ptCount val="1"/>
                <c:pt idx="0">
                  <c:v>A770 ("ref", PyTorch 2.3.x)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>
                <a:lumMod val="60000"/>
              </a:schemeClr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current!$B$11:$D$11</c:f>
              <c:numCache>
                <c:formatCode>General</c:formatCode>
                <c:ptCount val="3"/>
                <c:pt idx="0">
                  <c:v>1.01</c:v>
                </c:pt>
                <c:pt idx="1">
                  <c:v>1.75</c:v>
                </c:pt>
                <c:pt idx="2">
                  <c:v>20.69</c:v>
                </c:pt>
              </c:numCache>
            </c:numRef>
          </c:val>
        </c:ser>
        <c:ser>
          <c:idx val="9"/>
          <c:order val="9"/>
          <c:tx>
            <c:strRef>
              <c:f>current!$A$12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>
                <a:lumMod val="60000"/>
              </a:schemeClr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current!$B$12:$D$12</c:f>
              <c:numCache>
                <c:formatCode>General</c:formatCode>
                <c:ptCount val="3"/>
                <c:pt idx="0">
                  <c:v>0.24</c:v>
                </c:pt>
                <c:pt idx="1">
                  <c:v>0.92</c:v>
                </c:pt>
                <c:pt idx="2">
                  <c:v>15.13</c:v>
                </c:pt>
              </c:numCache>
            </c:numRef>
          </c:val>
        </c:ser>
        <c:ser>
          <c:idx val="10"/>
          <c:order val="10"/>
          <c:tx>
            <c:strRef>
              <c:f>current!$A$13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>
                <a:lumMod val="60000"/>
              </a:schemeClr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current!$B$13:$D$13</c:f>
              <c:numCache>
                <c:formatCode>General</c:formatCode>
                <c:ptCount val="3"/>
                <c:pt idx="0">
                  <c:v>0.26</c:v>
                </c:pt>
                <c:pt idx="1">
                  <c:v>0.97</c:v>
                </c:pt>
                <c:pt idx="2">
                  <c:v>16.02</c:v>
                </c:pt>
              </c:numCache>
            </c:numRef>
          </c:val>
        </c:ser>
        <c:ser>
          <c:idx val="11"/>
          <c:order val="11"/>
          <c:tx>
            <c:strRef>
              <c:f>current!$A$14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>
              <a:noFill/>
            </a:ln>
          </c:spPr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current!$B$14:$D$14</c:f>
              <c:numCache>
                <c:formatCode>General</c:formatCode>
                <c:ptCount val="3"/>
                <c:pt idx="0">
                  <c:v>0.23</c:v>
                </c:pt>
                <c:pt idx="1">
                  <c:v>0.82</c:v>
                </c:pt>
                <c:pt idx="2">
                  <c:v>22.7</c:v>
                </c:pt>
              </c:numCache>
            </c:numRef>
          </c:val>
        </c:ser>
        <c:gapWidth val="219"/>
        <c:overlap val="-26"/>
        <c:axId val="2140841805"/>
        <c:axId val="2140841806"/>
      </c:barChart>
      <c:catAx>
        <c:axId val="21408418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806"/>
        <c:crosses val="autoZero"/>
        <c:auto val="1"/>
        <c:lblAlgn val="ctr"/>
        <c:lblOffset val="100"/>
        <c:noMultiLvlLbl val="0"/>
      </c:catAx>
      <c:valAx>
        <c:axId val="21408418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8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5895974" y="4090985"/>
      <a:ext cx="4552949" cy="290512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backup!$A$2</c:f>
              <c:strCache>
                <c:ptCount val="1"/>
                <c:pt idx="0">
                  <c:v>A770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backup!$A$3</c:f>
              <c:strCache>
                <c:ptCount val="1"/>
                <c:pt idx="0">
                  <c:v>PVC Max 1100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backup!$A$4</c:f>
              <c:strCache>
                <c:ptCount val="1"/>
                <c:pt idx="0">
                  <c:v>1080Ti (CUDA)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521"/>
        <c:axId val="2140841522"/>
      </c:barChart>
      <c:catAx>
        <c:axId val="21408415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tickMarkSkip val="1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 rot="0" vert="horz"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428999" y="66674"/>
      <a:ext cx="5248274" cy="310991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371472</xdr:colOff>
      <xdr:row>10</xdr:row>
      <xdr:rowOff>76197</xdr:rowOff>
    </xdr:from>
    <xdr:to>
      <xdr:col>21</xdr:col>
      <xdr:colOff>571497</xdr:colOff>
      <xdr:row>35</xdr:row>
      <xdr:rowOff>142872</xdr:rowOff>
    </xdr:to>
    <xdr:graphicFrame>
      <xdr:nvGraphicFramePr>
        <xdr:cNvPr id="370919270" name=""/>
        <xdr:cNvGraphicFramePr>
          <a:graphicFrameLocks xmlns:a="http://schemas.openxmlformats.org/drawingml/2006/main"/>
        </xdr:cNvGraphicFramePr>
      </xdr:nvGraphicFramePr>
      <xdr:xfrm rot="0" flipH="0" flipV="0">
        <a:off x="7524747" y="1885947"/>
        <a:ext cx="8124824" cy="45910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5</xdr:col>
      <xdr:colOff>571499</xdr:colOff>
      <xdr:row>22</xdr:row>
      <xdr:rowOff>109535</xdr:rowOff>
    </xdr:from>
    <xdr:to>
      <xdr:col>13</xdr:col>
      <xdr:colOff>247649</xdr:colOff>
      <xdr:row>38</xdr:row>
      <xdr:rowOff>119060</xdr:rowOff>
    </xdr:to>
    <xdr:graphicFrame>
      <xdr:nvGraphicFramePr>
        <xdr:cNvPr id="1017282525" name=""/>
        <xdr:cNvGraphicFramePr>
          <a:graphicFrameLocks xmlns:a="http://schemas.openxmlformats.org/drawingml/2006/main"/>
        </xdr:cNvGraphicFramePr>
      </xdr:nvGraphicFramePr>
      <xdr:xfrm rot="0" flipH="0" flipV="0">
        <a:off x="5895974" y="4090985"/>
        <a:ext cx="4552949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114299</xdr:colOff>
      <xdr:row>0</xdr:row>
      <xdr:rowOff>66673</xdr:rowOff>
    </xdr:from>
    <xdr:to>
      <xdr:col>12</xdr:col>
      <xdr:colOff>485774</xdr:colOff>
      <xdr:row>18</xdr:row>
      <xdr:rowOff>4762</xdr:rowOff>
    </xdr:to>
    <xdr:graphicFrame>
      <xdr:nvGraphicFramePr>
        <xdr:cNvPr id="1842940348" name=""/>
        <xdr:cNvGraphicFramePr>
          <a:graphicFrameLocks xmlns:a="http://schemas.openxmlformats.org/drawingml/2006/main"/>
        </xdr:cNvGraphicFramePr>
      </xdr:nvGraphicFramePr>
      <xdr:xfrm>
        <a:off x="3428999" y="66674"/>
        <a:ext cx="5248274" cy="310991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296568FF-0662-2C9F-C581-89AAD6A06E95}" userId="user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12-03T16:35:38.28Z" personId="{296568FF-0662-2C9F-C581-89AAD6A06E95}" id="{5D1DD697-3B31-24C3-D1FC-4F10BC94625B}" done="0">
    <text xml:space="preserve">heads/debug_profiling-0-g9390a36 with "ENVNAME=stylegan3_2_1_40_xpu"
exact pytorch version: 2.1.0.post3+cxx11.abi
</text>
  </threadedComment>
  <threadedComment ref="A12" dT="2025-03-28T16:45:12.02Z" personId="{296568FF-0662-2C9F-C581-89AAD6A06E95}" id="{1CB70762-CB98-18A3-8B23-8B0C43552DB3}" done="0">
    <text xml:space="preserve">heads/debug_profiling-0-gb9cee85 with "stylegan" environment
re-measure with current commit
</text>
  </threadedComment>
  <threadedComment ref="E18" dT="2024-12-03T17:44:41.53Z" personId="{296568FF-0662-2C9F-C581-89AAD6A06E95}" id="{44FE1040-EA6E-1D7C-5CD3-EEAB189226D0}" done="1">
    <text xml:space="preserve">TODO try upgrading and re-measuring
</text>
  </threadedComment>
  <threadedComment ref="A3" dT="2024-12-03T16:35:38.28Z" personId="{296568FF-0662-2C9F-C581-89AAD6A06E95}" id="{D60FF92D-CD85-77A7-BAF7-B50E5A8F386D}" done="0">
    <text xml:space="preserve">heads/debug_profiling-0-gdab3304 with "ENVNAME=stylegan3_2_1_40_xpu"
re-measured current commit, with current GPU driver
</text>
  </threadedComment>
  <threadedComment ref="A4" dT="2024-12-03T16:35:38.28Z" personId="{296568FF-0662-2C9F-C581-89AAD6A06E95}" id="{0A840647-343D-ECD8-EE73-9B5128B511C0}" done="0">
    <text xml:space="preserve">heads/debug_profiling-0-gdab3304 with "ENVNAME=stylegan3_2_3_110_xpu"
torch 2.3.1+cxx11.abi
</text>
  </threadedComment>
  <threadedComment ref="A5" dT="2024-12-03T16:08:51.51Z" personId="{296568FF-0662-2C9F-C581-89AAD6A06E95}" id="{9885B1C3-AB22-94B7-30B7-E8A667F23725}" done="0">
    <text xml:space="preserve">9390a36a6b1ee05f376ece3fc065dfb77f459ded with "-O1" (which is in the commit)
on a VM instance on Intel Tiber Developer Cloud
</text>
  </threadedComment>
  <threadedComment ref="A6" dT="2024-12-03T16:36:13.13Z" personId="{296568FF-0662-2C9F-C581-89AAD6A06E95}" id="{07C5CB9B-011A-F201-BE01-B6ED5DCC747A}" done="0">
    <text xml:space="preserve">heads/debug_profiling-0-g9390a36 with "stylegan" environment
</text>
  </threadedComment>
  <threadedComment ref="A7" dT="2024-12-03T16:36:13.13Z" personId="{296568FF-0662-2C9F-C581-89AAD6A06E95}" id="{3D18DD77-473E-3CE6-83E6-86E80A773716}" done="0">
    <text xml:space="preserve">heads/debug_profiling-0-gb9cee85 with "stylegan" environment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12-03T16:35:38.28Z" personId="{296568FF-0662-2C9F-C581-89AAD6A06E95}" id="{FBA8A04F-1144-D4CE-3955-9139357F1DF7}" done="0">
    <text xml:space="preserve">heads/debug_profiling-0-g9390a36 with "ENVNAME=stylegan3_2_1_40_xpu"
</text>
  </threadedComment>
  <threadedComment ref="A3" dT="2024-12-03T16:08:51.51Z" personId="{296568FF-0662-2C9F-C581-89AAD6A06E95}" id="{49BA0359-1DD6-6E69-0623-10EC65534207}" done="0">
    <text xml:space="preserve">9390a36a6b1ee05f376ece3fc065dfb77f459ded with "-O1" (which is in the commit)
</text>
  </threadedComment>
  <threadedComment ref="A4" dT="2024-12-03T16:36:13.13Z" personId="{296568FF-0662-2C9F-C581-89AAD6A06E95}" id="{71B80EF3-EE31-C54E-AB34-BCEA6BB0C751}" done="0">
    <text xml:space="preserve">heads/debug_profiling-0-g9390a36 with "stylegan" environment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drawing" Target="../drawings/drawing1.xml"/><Relationship  Id="rId4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drawing" Target="../drawings/drawing2.xml"/><Relationship 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2.28125"/>
    <col customWidth="1" min="2" max="3" width="12.140625"/>
    <col customWidth="1" min="4" max="4" width="14.140625"/>
  </cols>
  <sheetData>
    <row r="1" ht="14.25">
      <c r="B1" t="s">
        <v>0</v>
      </c>
      <c r="C1" t="s">
        <v>1</v>
      </c>
      <c r="D1" t="s">
        <v>2</v>
      </c>
      <c r="E1" s="1" t="s">
        <v>3</v>
      </c>
    </row>
    <row r="2" ht="14.25">
      <c r="A2" t="s">
        <v>4</v>
      </c>
      <c r="B2">
        <v>7.4500000000000002</v>
      </c>
      <c r="C2">
        <v>10.01</v>
      </c>
      <c r="D2" s="2">
        <v>27.27</v>
      </c>
      <c r="E2" s="1" t="s">
        <v>5</v>
      </c>
    </row>
    <row r="3" ht="14.25">
      <c r="A3" s="3" t="s">
        <v>4</v>
      </c>
      <c r="B3" s="4">
        <v>7.2599999999999998</v>
      </c>
      <c r="C3" s="4">
        <v>9.9800000000000004</v>
      </c>
      <c r="D3" s="2">
        <v>27.23</v>
      </c>
      <c r="E3" s="1" t="s">
        <v>6</v>
      </c>
    </row>
    <row r="4" ht="14.25">
      <c r="A4" s="3" t="s">
        <v>7</v>
      </c>
      <c r="B4" s="4">
        <v>6.8300000000000001</v>
      </c>
      <c r="C4" s="4">
        <v>9.2899999999999991</v>
      </c>
      <c r="D4" s="2">
        <v>21.140000000000001</v>
      </c>
      <c r="E4" s="1" t="s">
        <v>8</v>
      </c>
    </row>
    <row r="5" ht="14.25">
      <c r="A5" t="s">
        <v>9</v>
      </c>
      <c r="B5">
        <v>6.4199999999999999</v>
      </c>
      <c r="C5">
        <v>14.91</v>
      </c>
      <c r="D5" s="2">
        <v>33.369999999999997</v>
      </c>
      <c r="E5" s="1" t="s">
        <v>10</v>
      </c>
    </row>
    <row r="6" ht="14.25">
      <c r="A6" t="s">
        <v>11</v>
      </c>
      <c r="B6">
        <v>11.9</v>
      </c>
      <c r="C6">
        <v>10.27</v>
      </c>
      <c r="D6" s="2">
        <v>20.829999999999998</v>
      </c>
      <c r="E6" s="1" t="s">
        <v>5</v>
      </c>
    </row>
    <row r="7" ht="14.25">
      <c r="A7" s="5" t="s">
        <v>11</v>
      </c>
      <c r="B7" s="6">
        <v>12.630000000000001</v>
      </c>
      <c r="C7" s="6">
        <v>10.9</v>
      </c>
      <c r="D7" s="7">
        <v>22.07</v>
      </c>
      <c r="E7" s="1" t="s">
        <v>12</v>
      </c>
    </row>
    <row r="8" ht="14.25">
      <c r="A8" s="4" t="s">
        <v>13</v>
      </c>
      <c r="B8" s="4">
        <v>13.859999999999999</v>
      </c>
      <c r="C8" s="4">
        <v>7.04</v>
      </c>
      <c r="D8" s="2">
        <v>36.68</v>
      </c>
      <c r="E8" s="1" t="s">
        <v>14</v>
      </c>
    </row>
    <row r="9" ht="14.25">
      <c r="A9" s="4" t="s">
        <v>15</v>
      </c>
      <c r="B9" s="4">
        <v>1.01</v>
      </c>
      <c r="C9" s="4">
        <v>1.77</v>
      </c>
      <c r="D9" s="2">
        <v>24.52</v>
      </c>
      <c r="E9" s="1" t="s">
        <v>5</v>
      </c>
    </row>
    <row r="10" ht="14.25">
      <c r="A10" s="4" t="s">
        <v>16</v>
      </c>
      <c r="B10" s="4">
        <v>1.01</v>
      </c>
      <c r="C10" s="4">
        <v>1.75</v>
      </c>
      <c r="D10" s="2">
        <v>20.690000000000001</v>
      </c>
      <c r="E10" s="1" t="s">
        <v>17</v>
      </c>
    </row>
    <row r="11" ht="14.25">
      <c r="A11" s="4" t="s">
        <v>18</v>
      </c>
      <c r="B11">
        <v>0.23999999999999999</v>
      </c>
      <c r="C11">
        <v>0.92000000000000004</v>
      </c>
      <c r="D11" s="2">
        <v>15.130000000000001</v>
      </c>
      <c r="E11" s="1" t="s">
        <v>5</v>
      </c>
    </row>
    <row r="12" ht="14.25">
      <c r="A12" s="6" t="s">
        <v>18</v>
      </c>
      <c r="B12" s="6">
        <v>0.26000000000000001</v>
      </c>
      <c r="C12" s="6">
        <v>0.96999999999999997</v>
      </c>
      <c r="D12" s="7">
        <v>16.02</v>
      </c>
      <c r="E12" s="1" t="s">
        <v>19</v>
      </c>
    </row>
    <row r="13" ht="14.25">
      <c r="A13" t="s">
        <v>20</v>
      </c>
      <c r="B13">
        <v>0.23000000000000001</v>
      </c>
      <c r="C13">
        <v>0.81999999999999995</v>
      </c>
      <c r="D13" s="2">
        <v>22.699999999999999</v>
      </c>
      <c r="E13" s="1" t="s">
        <v>14</v>
      </c>
    </row>
    <row r="15" ht="14.25">
      <c r="A15" t="s">
        <v>21</v>
      </c>
    </row>
    <row r="16" ht="14.25"/>
    <row r="17" ht="14.25">
      <c r="C17" t="s">
        <v>22</v>
      </c>
      <c r="D17" t="s">
        <v>23</v>
      </c>
      <c r="E17" t="s">
        <v>24</v>
      </c>
    </row>
    <row r="18" ht="14.25">
      <c r="A18" t="s">
        <v>25</v>
      </c>
      <c r="B18" t="s">
        <v>26</v>
      </c>
      <c r="C18" t="s">
        <v>27</v>
      </c>
      <c r="D18" s="4" t="s">
        <v>28</v>
      </c>
      <c r="E18" t="s">
        <v>29</v>
      </c>
    </row>
    <row r="19" ht="14.25">
      <c r="B19" t="s">
        <v>30</v>
      </c>
      <c r="C19" t="s">
        <v>31</v>
      </c>
      <c r="D19" t="s">
        <v>32</v>
      </c>
      <c r="E19" t="s">
        <v>33</v>
      </c>
    </row>
    <row r="20" ht="14.25">
      <c r="B20" t="s">
        <v>34</v>
      </c>
      <c r="C20" t="s">
        <v>35</v>
      </c>
      <c r="D20" t="s">
        <v>32</v>
      </c>
      <c r="E20" s="4" t="s">
        <v>36</v>
      </c>
    </row>
    <row r="24" ht="14.25"/>
    <row r="25" ht="14.25">
      <c r="A25" t="s">
        <v>37</v>
      </c>
    </row>
    <row r="26" ht="14.25">
      <c r="C26" t="str">
        <f>C1</f>
        <v>stylegan3-t</v>
      </c>
    </row>
    <row r="27" ht="14.25">
      <c r="A27" s="4" t="s">
        <v>38</v>
      </c>
      <c r="C27">
        <f>C6/C11</f>
        <v>11.163043478260869</v>
      </c>
    </row>
    <row r="28" ht="14.25">
      <c r="A28" t="s">
        <v>38</v>
      </c>
      <c r="C28">
        <f>C7/C12</f>
        <v>11.237113402061857</v>
      </c>
      <c r="D28" s="6"/>
    </row>
    <row r="29" ht="14.25">
      <c r="A29" s="3" t="s">
        <v>39</v>
      </c>
      <c r="C29">
        <f>C8/C13</f>
        <v>8.5853658536585371</v>
      </c>
    </row>
    <row r="30" ht="14.25">
      <c r="A30" t="s">
        <v>40</v>
      </c>
      <c r="C30">
        <f>C2/C9</f>
        <v>5.6553672316384178</v>
      </c>
    </row>
    <row r="31" ht="14.25">
      <c r="A31" s="3" t="s">
        <v>41</v>
      </c>
      <c r="C31">
        <f>C4/C10</f>
        <v>5.3085714285714278</v>
      </c>
      <c r="D31" t="s">
        <v>42</v>
      </c>
    </row>
    <row r="32" ht="14.25"/>
    <row r="33" ht="14.25">
      <c r="A33" t="s">
        <v>43</v>
      </c>
      <c r="C33">
        <f>C9/C11</f>
        <v>1.9239130434782608</v>
      </c>
    </row>
    <row r="34" ht="14.25">
      <c r="A34" s="4" t="s">
        <v>44</v>
      </c>
      <c r="C34">
        <f>C9/C13</f>
        <v>2.1585365853658538</v>
      </c>
    </row>
    <row r="35" ht="14.25"/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23.57421875"/>
    <col bestFit="1" min="2" max="2" width="5.8515625"/>
    <col bestFit="1" customWidth="1" min="3" max="3" width="21.00390625"/>
    <col bestFit="1" min="4" max="4" width="35.140625"/>
    <col customWidth="1" min="5" max="5" width="30.00390625"/>
    <col bestFit="1" min="6" max="6" width="21.421875"/>
    <col bestFit="1" min="7" max="7" width="4.7109375"/>
    <col bestFit="1" min="8" max="8" width="5.28125"/>
    <col bestFit="1" min="9" max="9" width="5.57421875"/>
    <col bestFit="1" min="10" max="10" width="7.140625"/>
    <col bestFit="1" min="11" max="11" width="5.28125"/>
    <col bestFit="1" min="12" max="12" width="3.57421875"/>
    <col bestFit="1" min="16" max="16" width="10.8515625"/>
    <col customWidth="1" min="17" max="17" width="26.7109375"/>
  </cols>
  <sheetData>
    <row r="1">
      <c r="H1" t="s">
        <v>45</v>
      </c>
      <c r="I1" t="s">
        <v>46</v>
      </c>
      <c r="J1" t="s">
        <v>47</v>
      </c>
      <c r="K1" t="s">
        <v>48</v>
      </c>
    </row>
    <row r="2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>
        <v>9.5999999999999996</v>
      </c>
      <c r="I2">
        <v>20.449999999999999</v>
      </c>
      <c r="J2">
        <v>21.02</v>
      </c>
      <c r="K2">
        <v>21.16</v>
      </c>
      <c r="L2" t="s">
        <v>56</v>
      </c>
      <c r="Q2" s="8" t="s">
        <v>57</v>
      </c>
    </row>
    <row r="3">
      <c r="A3" t="s">
        <v>58</v>
      </c>
      <c r="B3" t="s">
        <v>50</v>
      </c>
      <c r="C3" t="s">
        <v>51</v>
      </c>
      <c r="D3" t="s">
        <v>52</v>
      </c>
      <c r="E3" t="s">
        <v>53</v>
      </c>
      <c r="F3" t="s">
        <v>54</v>
      </c>
      <c r="G3" t="s">
        <v>55</v>
      </c>
      <c r="H3">
        <v>13.41</v>
      </c>
      <c r="I3">
        <v>20.149999999999999</v>
      </c>
      <c r="J3">
        <v>20.52</v>
      </c>
      <c r="K3">
        <v>20.75</v>
      </c>
      <c r="L3" t="s">
        <v>56</v>
      </c>
      <c r="Q3" s="8"/>
    </row>
    <row r="4">
      <c r="A4" t="s">
        <v>59</v>
      </c>
      <c r="B4" t="s">
        <v>50</v>
      </c>
      <c r="C4" t="s">
        <v>51</v>
      </c>
      <c r="D4" t="s">
        <v>52</v>
      </c>
      <c r="E4" t="s">
        <v>53</v>
      </c>
      <c r="F4" t="s">
        <v>54</v>
      </c>
      <c r="G4" t="s">
        <v>55</v>
      </c>
      <c r="H4">
        <v>13.720000000000001</v>
      </c>
      <c r="I4">
        <v>19.859999999999999</v>
      </c>
      <c r="J4">
        <v>19.350000000000001</v>
      </c>
      <c r="K4">
        <v>22.010000000000002</v>
      </c>
      <c r="L4" t="s">
        <v>56</v>
      </c>
      <c r="M4">
        <f>STDEV(H2:H4)/AVERAGE(H2:H4)*100</f>
        <v>18.740282852691443</v>
      </c>
      <c r="N4">
        <f>STDEV(I2:I4)/AVERAGE(I2:I4)*100</f>
        <v>1.4638477867466417</v>
      </c>
      <c r="O4">
        <f>STDEV(J2:J4)/AVERAGE(J2:J4)*100</f>
        <v>4.2228980405069967</v>
      </c>
      <c r="P4">
        <f>STDEV(K2:K4)/AVERAGE(K2:K4)*100</f>
        <v>3.0163174010526634</v>
      </c>
      <c r="Q4" s="8"/>
    </row>
    <row r="5">
      <c r="A5" t="s">
        <v>60</v>
      </c>
      <c r="B5" t="s">
        <v>50</v>
      </c>
      <c r="C5" t="s">
        <v>51</v>
      </c>
      <c r="D5" t="s">
        <v>52</v>
      </c>
      <c r="E5" t="s">
        <v>61</v>
      </c>
      <c r="F5" t="s">
        <v>54</v>
      </c>
      <c r="G5" t="s">
        <v>55</v>
      </c>
      <c r="H5">
        <v>4.9100000000000001</v>
      </c>
      <c r="I5">
        <v>6.7599999999999998</v>
      </c>
      <c r="J5">
        <v>6.7999999999999998</v>
      </c>
      <c r="K5">
        <v>6.8499999999999996</v>
      </c>
      <c r="L5" t="s">
        <v>56</v>
      </c>
      <c r="Q5" s="8"/>
    </row>
    <row r="6">
      <c r="A6" t="s">
        <v>62</v>
      </c>
      <c r="B6" t="s">
        <v>50</v>
      </c>
      <c r="C6" t="s">
        <v>51</v>
      </c>
      <c r="D6" t="s">
        <v>52</v>
      </c>
      <c r="E6" t="s">
        <v>61</v>
      </c>
      <c r="F6" t="s">
        <v>54</v>
      </c>
      <c r="G6" t="s">
        <v>55</v>
      </c>
      <c r="H6">
        <v>5.2199999999999998</v>
      </c>
      <c r="I6">
        <v>6.7800000000000002</v>
      </c>
      <c r="J6">
        <v>6.8200000000000003</v>
      </c>
      <c r="K6">
        <v>6.8600000000000003</v>
      </c>
      <c r="L6" t="s">
        <v>56</v>
      </c>
      <c r="Q6" s="8"/>
    </row>
    <row r="7">
      <c r="A7" t="s">
        <v>63</v>
      </c>
      <c r="B7" t="s">
        <v>50</v>
      </c>
      <c r="C7" t="s">
        <v>51</v>
      </c>
      <c r="D7" t="s">
        <v>52</v>
      </c>
      <c r="E7" t="s">
        <v>61</v>
      </c>
      <c r="F7" t="s">
        <v>54</v>
      </c>
      <c r="G7" t="s">
        <v>55</v>
      </c>
      <c r="H7">
        <v>5.2000000000000002</v>
      </c>
      <c r="I7">
        <v>6.7699999999999996</v>
      </c>
      <c r="J7">
        <v>6.8099999999999996</v>
      </c>
      <c r="K7">
        <v>6.8600000000000003</v>
      </c>
      <c r="L7" t="s">
        <v>56</v>
      </c>
      <c r="M7" s="3">
        <f>STDEV(H5:H7)/AVERAGE(H5:H7)*100</f>
        <v>3.3951764330523408</v>
      </c>
      <c r="N7" s="3">
        <f>STDEV(I5:I7)/AVERAGE(I5:I7)*100</f>
        <v>0.14771048744461199</v>
      </c>
      <c r="O7" s="3">
        <f>STDEV(J5:J7)/AVERAGE(J5:J7)*100</f>
        <v>0.14684287812041455</v>
      </c>
      <c r="P7" s="3">
        <f>STDEV(K5:K7)/AVERAGE(K5:K7)*100</f>
        <v>0.084202761670831031</v>
      </c>
      <c r="Q7" s="8"/>
    </row>
    <row r="8">
      <c r="A8" t="s">
        <v>64</v>
      </c>
      <c r="B8" t="s">
        <v>50</v>
      </c>
      <c r="C8" t="s">
        <v>51</v>
      </c>
      <c r="D8" t="s">
        <v>52</v>
      </c>
      <c r="E8" t="s">
        <v>65</v>
      </c>
      <c r="F8" t="s">
        <v>54</v>
      </c>
      <c r="G8" t="s">
        <v>55</v>
      </c>
      <c r="H8">
        <v>6.3600000000000003</v>
      </c>
      <c r="I8">
        <v>9.1799999999999997</v>
      </c>
      <c r="J8">
        <v>9.2599999999999998</v>
      </c>
      <c r="K8">
        <v>9.3300000000000001</v>
      </c>
      <c r="L8" t="s">
        <v>56</v>
      </c>
      <c r="Q8" s="8"/>
    </row>
    <row r="9">
      <c r="A9" t="s">
        <v>66</v>
      </c>
      <c r="B9" t="s">
        <v>50</v>
      </c>
      <c r="C9" t="s">
        <v>51</v>
      </c>
      <c r="D9" t="s">
        <v>52</v>
      </c>
      <c r="E9" t="s">
        <v>65</v>
      </c>
      <c r="F9" t="s">
        <v>54</v>
      </c>
      <c r="G9" t="s">
        <v>55</v>
      </c>
      <c r="H9">
        <v>6.3799999999999999</v>
      </c>
      <c r="I9">
        <v>9.1699999999999999</v>
      </c>
      <c r="J9">
        <v>9.2300000000000004</v>
      </c>
      <c r="K9">
        <v>9.3399999999999999</v>
      </c>
      <c r="L9" t="s">
        <v>56</v>
      </c>
      <c r="Q9" s="8"/>
    </row>
    <row r="10">
      <c r="A10" t="s">
        <v>67</v>
      </c>
      <c r="B10" t="s">
        <v>50</v>
      </c>
      <c r="C10" t="s">
        <v>51</v>
      </c>
      <c r="D10" t="s">
        <v>52</v>
      </c>
      <c r="E10" t="s">
        <v>65</v>
      </c>
      <c r="F10" t="s">
        <v>54</v>
      </c>
      <c r="G10" t="s">
        <v>55</v>
      </c>
      <c r="H10">
        <v>6.1699999999999999</v>
      </c>
      <c r="I10">
        <v>9.1899999999999995</v>
      </c>
      <c r="J10">
        <v>9.2799999999999994</v>
      </c>
      <c r="K10">
        <v>9.3399999999999999</v>
      </c>
      <c r="L10" t="s">
        <v>56</v>
      </c>
      <c r="M10" s="3">
        <f>STDEV(H8:H10)/AVERAGE(H8:H10)*100</f>
        <v>1.8387454945228685</v>
      </c>
      <c r="N10" s="3">
        <f>STDEV(I8:I10)/AVERAGE(I8:I10)*100</f>
        <v>0.10893246187363603</v>
      </c>
      <c r="O10" s="3">
        <f>STDEV(J8:J10)/AVERAGE(J8:J10)*100</f>
        <v>0.27187016331546948</v>
      </c>
      <c r="P10" s="3">
        <f>STDEV(K8:K10)/AVERAGE(K8:K10)*100</f>
        <v>0.061836872815738672</v>
      </c>
      <c r="Q10" s="8"/>
    </row>
    <row r="11">
      <c r="M11">
        <f>MAX(M4:M10)</f>
        <v>18.740282852691443</v>
      </c>
      <c r="N11">
        <f>MAX(N4:N10)</f>
        <v>1.4638477867466417</v>
      </c>
      <c r="O11">
        <f>MAX(O4:O10)</f>
        <v>4.2228980405069967</v>
      </c>
      <c r="P11">
        <f>MAX(P4:P10)</f>
        <v>3.0163174010526634</v>
      </c>
      <c r="Q11" t="s">
        <v>48</v>
      </c>
    </row>
    <row r="12">
      <c r="M12" s="3">
        <f>AVERAGE(M5:M11)</f>
        <v>7.9914015934222178</v>
      </c>
      <c r="N12" s="3">
        <f>AVERAGE(N5:N11)</f>
        <v>0.57349691202162989</v>
      </c>
      <c r="O12" s="3">
        <f>AVERAGE(O5:O11)</f>
        <v>1.5472036939809604</v>
      </c>
      <c r="P12" s="3">
        <f>AVERAGE(P5:P11)</f>
        <v>1.054119011846411</v>
      </c>
      <c r="Q12" t="s">
        <v>68</v>
      </c>
    </row>
    <row r="14">
      <c r="M14" t="s">
        <v>69</v>
      </c>
    </row>
  </sheetData>
  <sortState ref="A2:L11" columnSort="0">
    <sortCondition sortBy="value" descending="0" ref="E2:E11"/>
  </sortState>
  <mergeCells count="1">
    <mergeCell ref="Q2:Q10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3.28125"/>
    <col customWidth="1" min="2" max="4" width="12.140625"/>
  </cols>
  <sheetData>
    <row r="1" ht="14.25">
      <c r="B1" t="s">
        <v>0</v>
      </c>
      <c r="C1" t="s">
        <v>1</v>
      </c>
      <c r="D1" t="s">
        <v>2</v>
      </c>
    </row>
    <row r="2" ht="14.25">
      <c r="A2" t="s">
        <v>22</v>
      </c>
      <c r="B2">
        <v>7.4500000000000002</v>
      </c>
      <c r="C2">
        <v>10.01</v>
      </c>
      <c r="D2">
        <v>27.27</v>
      </c>
    </row>
    <row r="3" ht="14.25">
      <c r="A3" t="s">
        <v>23</v>
      </c>
      <c r="B3">
        <v>6.4199999999999999</v>
      </c>
      <c r="C3">
        <v>14.91</v>
      </c>
      <c r="D3">
        <v>33.369999999999997</v>
      </c>
    </row>
    <row r="4" ht="14.25">
      <c r="A4" t="s">
        <v>70</v>
      </c>
      <c r="B4">
        <v>11.9</v>
      </c>
      <c r="C4">
        <v>10.27</v>
      </c>
      <c r="D4">
        <v>20.829999999999998</v>
      </c>
    </row>
    <row r="7" ht="14.25">
      <c r="A7" t="s">
        <v>21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ONLYOFFICE/8.3.2.19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2025-03-28T16:55:43Z</dcterms:modified>
</cp:coreProperties>
</file>