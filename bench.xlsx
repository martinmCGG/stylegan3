
<file path=[Content_Types].xml><?xml version="1.0" encoding="utf-8"?>
<Types xmlns="http://schemas.openxmlformats.org/package/2006/content-types">
  <Default Extension="vml" ContentType="application/vnd.openxmlformats-officedocument.vmlDrawing"/>
  <Default Extension="wmf" ContentType="image/x-wmf"/>
  <Default Extension="png" ContentType="image/png"/>
  <Default Extension="jpeg" ContentType="image/jpeg"/>
  <Default Extension="xml" ContentType="application/xml"/>
  <Default Extension="rels" ContentType="application/vnd.openxmlformats-package.relationships+xml"/>
  <Default Extension="bin" ContentType="application/vnd.openxmlformats-officedocument.oleObject"/>
  <Override PartName="/xl/theme/theme1.xml" ContentType="application/vnd.openxmlformats-officedocument.theme+xml"/>
  <Override PartName="/xl/drawings/drawing4.xml" ContentType="application/vnd.openxmlformats-officedocument.drawing+xml"/>
  <Override PartName="/xl/worksheets/sheet6.xml" ContentType="application/vnd.openxmlformats-officedocument.spreadsheetml.worksheet+xml"/>
  <Override PartName="/xl/threadedComments/threadedComment4.xml" ContentType="application/vnd.ms-excel.threadedcomments+xml"/>
  <Override PartName="/xl/worksheets/sheet5.xml" ContentType="application/vnd.openxmlformats-officedocument.spreadsheetml.worksheet+xml"/>
  <Override PartName="/xl/drawings/drawing3.xml" ContentType="application/vnd.openxmlformats-officedocument.drawing+xml"/>
  <Override PartName="/xl/comments3.xml" ContentType="application/vnd.openxmlformats-officedocument.spreadsheetml.comments+xml"/>
  <Override PartName="/xl/worksheets/sheet4.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worksheets/sheet2.xml" ContentType="application/vnd.openxmlformats-officedocument.spreadsheetml.worksheet+xml"/>
  <Override PartName="/xl/threadedComments/threadedComment1.xml" ContentType="application/vnd.ms-excel.threadedcomments+xml"/>
  <Override PartName="/xl/threadedComments/threadedComment2.xml" ContentType="application/vnd.ms-excel.threadedcomments+xml"/>
  <Override PartName="/xl/worksheets/sheet1.xml" ContentType="application/vnd.openxmlformats-officedocument.spreadsheetml.worksheet+xml"/>
  <Override PartName="/xl/workbook.xml" ContentType="application/vnd.openxmlformats-officedocument.spreadsheetml.sheet.main+xml"/>
  <Override PartName="/xl/charts/style14.xml" ContentType="application/vnd.ms-office.chartstyle+xml"/>
  <Override PartName="/xl/charts/chart14.xml" ContentType="application/vnd.openxmlformats-officedocument.drawingml.chart+xml"/>
  <Override PartName="/xl/charts/chart13.xml" ContentType="application/vnd.openxmlformats-officedocument.drawingml.chart+xml"/>
  <Override PartName="/xl/charts/colors13.xml" ContentType="application/vnd.ms-office.chartcolorstyle+xml"/>
  <Override PartName="/xl/charts/style12.xml" ContentType="application/vnd.ms-office.chartstyle+xml"/>
  <Override PartName="/xl/comments1.xml" ContentType="application/vnd.openxmlformats-officedocument.spreadsheetml.comments+xml"/>
  <Override PartName="/xl/charts/chart12.xml" ContentType="application/vnd.openxmlformats-officedocument.drawingml.chart+xml"/>
  <Override PartName="/xl/charts/style10.xml" ContentType="application/vnd.ms-office.chartstyle+xml"/>
  <Override PartName="/xl/charts/style9.xml" ContentType="application/vnd.ms-office.chartstyle+xml"/>
  <Override PartName="/xl/persons/person.xml" ContentType="application/vnd.ms-excel.person+xml"/>
  <Override PartName="/xl/charts/chart9.xml" ContentType="application/vnd.openxmlformats-officedocument.drawingml.chart+xml"/>
  <Override PartName="/xl/charts/style8.xml" ContentType="application/vnd.ms-office.chartstyle+xml"/>
  <Override PartName="/xl/charts/chart8.xml" ContentType="application/vnd.openxmlformats-officedocument.drawingml.chart+xml"/>
  <Override PartName="/xl/charts/style11.xml" ContentType="application/vnd.ms-office.chartstyle+xml"/>
  <Override PartName="/xl/threadedComments/threadedComment3.xml" ContentType="application/vnd.ms-excel.threadedcomments+xml"/>
  <Override PartName="/xl/charts/style7.xml" ContentType="application/vnd.ms-office.chartstyle+xml"/>
  <Override PartName="/xl/charts/chart7.xml" ContentType="application/vnd.openxmlformats-officedocument.drawingml.chart+xml"/>
  <Override PartName="/xl/charts/colors6.xml" ContentType="application/vnd.ms-office.chartcolorstyle+xml"/>
  <Override PartName="/xl/comments4.xml" ContentType="application/vnd.openxmlformats-officedocument.spreadsheetml.comments+xml"/>
  <Override PartName="/xl/charts/style6.xml" ContentType="application/vnd.ms-office.chartstyle+xml"/>
  <Override PartName="/xl/charts/colors14.xml" ContentType="application/vnd.ms-office.chartcolorstyle+xml"/>
  <Override PartName="/xl/charts/colors9.xml" ContentType="application/vnd.ms-office.chartcolorstyle+xml"/>
  <Override PartName="/xl/charts/chart6.xml" ContentType="application/vnd.openxmlformats-officedocument.drawingml.chart+xml"/>
  <Override PartName="/xl/charts/style13.xml" ContentType="application/vnd.ms-office.chartstyle+xml"/>
  <Override PartName="/xl/charts/colors8.xml" ContentType="application/vnd.ms-office.chartcolorstyle+xml"/>
  <Override PartName="/xl/styles.xml" ContentType="application/vnd.openxmlformats-officedocument.spreadsheetml.styles+xml"/>
  <Override PartName="/xl/charts/style5.xml" ContentType="application/vnd.ms-office.chartstyle+xml"/>
  <Override PartName="/xl/charts/colors3.xml" ContentType="application/vnd.ms-office.chartcolorstyle+xml"/>
  <Override PartName="/xl/charts/style3.xml" ContentType="application/vnd.ms-office.chartstyle+xml"/>
  <Override PartName="/xl/charts/chart3.xml" ContentType="application/vnd.openxmlformats-officedocument.drawingml.chart+xml"/>
  <Override PartName="/xl/charts/chart11.xml" ContentType="application/vnd.openxmlformats-officedocument.drawingml.chart+xml"/>
  <Override PartName="/xl/charts/chart5.xml" ContentType="application/vnd.openxmlformats-officedocument.drawingml.chart+xml"/>
  <Override PartName="/xl/charts/colors11.xml" ContentType="application/vnd.ms-office.chartcolorstyle+xml"/>
  <Override PartName="/xl/charts/chart10.xml" ContentType="application/vnd.openxmlformats-officedocument.drawingml.chart+xml"/>
  <Override PartName="/xl/charts/colors12.xml" ContentType="application/vnd.ms-office.chartcolorstyle+xml"/>
  <Override PartName="/xl/charts/colors2.xml" ContentType="application/vnd.ms-office.chartcolorstyle+xml"/>
  <Override PartName="/xl/charts/style2.xml" ContentType="application/vnd.ms-office.chartstyle+xml"/>
  <Override PartName="/xl/charts/style4.xml" ContentType="application/vnd.ms-office.chartstyle+xml"/>
  <Override PartName="/xl/charts/colors4.xml" ContentType="application/vnd.ms-office.chartcolorstyle+xml"/>
  <Override PartName="/xl/charts/chart2.xml" ContentType="application/vnd.openxmlformats-officedocument.drawingml.chart+xml"/>
  <Override PartName="/xl/charts/chart4.xml" ContentType="application/vnd.openxmlformats-officedocument.drawingml.chart+xml"/>
  <Override PartName="/xl/charts/colors1.xml" ContentType="application/vnd.ms-office.chartcolorstyle+xml"/>
  <Override PartName="/xl/charts/colors7.xml" ContentType="application/vnd.ms-office.chartcolorstyle+xml"/>
  <Override PartName="/docProps/app.xml" ContentType="application/vnd.openxmlformats-officedocument.extended-properties+xml"/>
  <Override PartName="/docProps/core.xml" ContentType="application/vnd.openxmlformats-package.core-properties+xml"/>
  <Override PartName="/xl/charts/style1.xml" ContentType="application/vnd.ms-office.chartstyle+xml"/>
  <Override PartName="/xl/charts/chart1.xml" ContentType="application/vnd.openxmlformats-officedocument.drawingml.chart+xml"/>
  <Override PartName="/xl/charts/colors10.xml" ContentType="application/vnd.ms-office.chartcolorstyle+xml"/>
  <Override PartName="/xl/charts/colors5.xml" ContentType="application/vnd.ms-office.chartcolorstyl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current" sheetId="1" state="visible" r:id="rId2"/>
    <sheet name="profile sg3-t PVC" sheetId="2" state="visible" r:id="rId3"/>
    <sheet name="profile sg3-t A770" sheetId="3" state="visible" r:id="rId4"/>
    <sheet name="profile sg3-t 3060 TODO" sheetId="4" state="visible" r:id="rId5"/>
    <sheet name="stddev of metrics" sheetId="5" state="visible" r:id="rId6"/>
    <sheet name="backup" sheetId="6" state="visible" r:id="rId7"/>
  </sheet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tc={5D1DD697-3B31-24C3-D1FC-4F10BC94625B}</author>
    <author>tc={D300BCD4-AF64-1F2B-8C24-5B84F5440E4F}</author>
    <author>tc={A01B7651-90D1-9D61-E5CA-ED6EEA98DA46}</author>
    <author>tc={9C780A3F-2882-4906-A15E-6397004551BF}</author>
    <author>tc={1CB70762-CB98-18A3-8B23-8B0C43552DB3}</author>
    <author>tc={D60FF92D-CD85-77A7-BAF7-B50E5A8F386D}</author>
    <author>tc={7ED0FFCC-B7DA-8554-413C-5373D5E862EB}</author>
    <author>tc={44FE1040-EA6E-1D7C-5CD3-EEAB189226D0}</author>
    <author>tc={0A840647-343D-ECD8-EE73-9B5128B511C0}</author>
    <author>tc={9885B1C3-AB22-94B7-30B7-E8A667F23725}</author>
    <author>tc={152CC54A-CC3F-A8E8-3020-50D37FDCC26A}</author>
    <author>tc={02D5EC6F-3679-B832-F9F8-3AF034DC73B7}</author>
    <author>tc={07C5CB9B-011A-F201-BE01-B6ED5DCC747A}</author>
    <author>tc={3D18DD77-473E-3CE6-83E6-86E80A773716}</author>
  </authors>
  <commentList>
    <comment ref="A2" authorId="0" xr:uid="{5D1DD697-3B31-24C3-D1FC-4F10BC94625B}">
      <text>
        <r>
          <rPr>
            <b/>
            <sz val="9"/>
            <rFont val="Tahoma"/>
          </rPr>
          <t>user:</t>
        </r>
        <r>
          <rPr>
            <sz val="9"/>
            <rFont val="Tahoma"/>
          </rPr>
          <t xml:space="preserve">
heads/debug_profiling-0-g9390a36 with "ENVNAME=stylegan3_2_1_40_xpu"
exact pytorch version: 2.1.0.post3+cxx11.abi
</t>
        </r>
      </text>
    </comment>
    <comment ref="A11" authorId="1" xr:uid="{D300BCD4-AF64-1F2B-8C24-5B84F5440E4F}">
      <text>
        <r>
          <rPr>
            <b/>
            <sz val="9"/>
            <rFont val="Tahoma"/>
          </rPr>
          <t>user:</t>
        </r>
        <r>
          <rPr>
            <sz val="9"/>
            <rFont val="Tahoma"/>
          </rPr>
          <t xml:space="preserve">
heads/debug_profiling-0-gd9c04ad
stylegan3_pytorch_2_3
</t>
        </r>
      </text>
    </comment>
    <comment ref="A16" authorId="2" xr:uid="{A01B7651-90D1-9D61-E5CA-ED6EEA98DA46}">
      <text>
        <r>
          <rPr>
            <b/>
            <sz val="9"/>
            <rFont val="Tahoma"/>
          </rPr>
          <t>user:</t>
        </r>
        <r>
          <rPr>
            <sz val="9"/>
            <rFont val="Tahoma"/>
          </rPr>
          <t xml:space="preserve">
heads/debug_profiling-2.1-0-g37d3e93
ipex_2_1_40
VM instance
</t>
        </r>
      </text>
    </comment>
    <comment ref="A17" authorId="3" xr:uid="{9C780A3F-2882-4906-A15E-6397004551BF}">
      <text>
        <r>
          <rPr>
            <b/>
            <sz val="9"/>
            <rFont val="Tahoma"/>
          </rPr>
          <t>user:</t>
        </r>
        <r>
          <rPr>
            <sz val="9"/>
            <rFont val="Tahoma"/>
          </rPr>
          <t xml:space="preserve">
heads/debug_profiling-0-gd9c04ad
ipex_2_3_110
VM instance
</t>
        </r>
      </text>
    </comment>
    <comment ref="A19" authorId="4" xr:uid="{1CB70762-CB98-18A3-8B23-8B0C43552DB3}">
      <text>
        <r>
          <rPr>
            <b/>
            <sz val="9"/>
            <rFont val="Tahoma"/>
          </rPr>
          <t>user:</t>
        </r>
        <r>
          <rPr>
            <sz val="9"/>
            <rFont val="Tahoma"/>
          </rPr>
          <t xml:space="preserve">
heads/debug_profiling-0-gb9cee85 with "stylegan" environment
re-measure with current commit
</t>
        </r>
      </text>
    </comment>
    <comment ref="A3" authorId="5" xr:uid="{D60FF92D-CD85-77A7-BAF7-B50E5A8F386D}">
      <text>
        <r>
          <rPr>
            <b/>
            <sz val="9"/>
            <rFont val="Tahoma"/>
          </rPr>
          <t>user:</t>
        </r>
        <r>
          <rPr>
            <sz val="9"/>
            <rFont val="Tahoma"/>
          </rPr>
          <t xml:space="preserve">
heads/debug_profiling-0-gdab3304 with "ENVNAME=stylegan3_2_1_40_xpu"
re-measured current commit, with current GPU driver
</t>
        </r>
      </text>
    </comment>
    <comment ref="A21" authorId="6" xr:uid="{7ED0FFCC-B7DA-8554-413C-5373D5E862EB}">
      <text>
        <r>
          <rPr>
            <b/>
            <sz val="9"/>
            <rFont val="Tahoma"/>
          </rPr>
          <t>user:</t>
        </r>
        <r>
          <rPr>
            <sz val="9"/>
            <rFont val="Tahoma"/>
          </rPr>
          <t xml:space="preserve">
heads/debug_profiling-0-gd9c04ad
stylegan3_pytorch_2_3
</t>
        </r>
      </text>
    </comment>
    <comment ref="E29" authorId="7" xr:uid="{44FE1040-EA6E-1D7C-5CD3-EEAB189226D0}">
      <text>
        <r>
          <rPr>
            <b/>
            <sz val="9"/>
            <rFont val="Tahoma"/>
          </rPr>
          <t>user:</t>
        </r>
        <r>
          <rPr>
            <sz val="9"/>
            <rFont val="Tahoma"/>
          </rPr>
          <t xml:space="preserve">
TODO try upgrading and re-measuring
</t>
        </r>
      </text>
    </comment>
    <comment ref="A4" authorId="8" xr:uid="{0A840647-343D-ECD8-EE73-9B5128B511C0}">
      <text>
        <r>
          <rPr>
            <b/>
            <sz val="9"/>
            <rFont val="Tahoma"/>
          </rPr>
          <t>user:</t>
        </r>
        <r>
          <rPr>
            <sz val="9"/>
            <rFont val="Tahoma"/>
          </rPr>
          <t xml:space="preserve">
heads/debug_profiling-0-gdab3304 with "ENVNAME=stylegan3_2_3_110_xpu"
torch 2.3.1+cxx11.abi
</t>
        </r>
      </text>
    </comment>
    <comment ref="A5" authorId="9" xr:uid="{9885B1C3-AB22-94B7-30B7-E8A667F23725}">
      <text>
        <r>
          <rPr>
            <b/>
            <sz val="9"/>
            <rFont val="Tahoma"/>
          </rPr>
          <t>user:</t>
        </r>
        <r>
          <rPr>
            <sz val="9"/>
            <rFont val="Tahoma"/>
          </rPr>
          <t xml:space="preserve">
9390a36a6b1ee05f376ece3fc065dfb77f459ded with "-O1" (which is in the commit)
on a VM instance on Intel Tiber Developer Cloud
</t>
        </r>
      </text>
    </comment>
    <comment ref="A6" authorId="10" xr:uid="{152CC54A-CC3F-A8E8-3020-50D37FDCC26A}">
      <text>
        <r>
          <rPr>
            <b/>
            <sz val="9"/>
            <rFont val="Tahoma"/>
          </rPr>
          <t>user:</t>
        </r>
        <r>
          <rPr>
            <sz val="9"/>
            <rFont val="Tahoma"/>
          </rPr>
          <t xml:space="preserve">
heads/debug_profiling-2.1-0-g37d3e93
ipex_2_1_40
VM instance
</t>
        </r>
      </text>
    </comment>
    <comment ref="A7" authorId="11" xr:uid="{02D5EC6F-3679-B832-F9F8-3AF034DC73B7}">
      <text>
        <r>
          <rPr>
            <b/>
            <sz val="9"/>
            <rFont val="Tahoma"/>
          </rPr>
          <t>user:</t>
        </r>
        <r>
          <rPr>
            <sz val="9"/>
            <rFont val="Tahoma"/>
          </rPr>
          <t xml:space="preserve">
heads/debug_profiling-0-gd9c04ad
ipex_2_3_110
VM instance
</t>
        </r>
      </text>
    </comment>
    <comment ref="A8" authorId="12" xr:uid="{07C5CB9B-011A-F201-BE01-B6ED5DCC747A}">
      <text>
        <r>
          <rPr>
            <b/>
            <sz val="9"/>
            <rFont val="Tahoma"/>
          </rPr>
          <t>user:</t>
        </r>
        <r>
          <rPr>
            <sz val="9"/>
            <rFont val="Tahoma"/>
          </rPr>
          <t xml:space="preserve">
heads/debug_profiling-0-g9390a36 with "stylegan" environment
</t>
        </r>
      </text>
    </comment>
    <comment ref="A9" authorId="13" xr:uid="{3D18DD77-473E-3CE6-83E6-86E80A773716}">
      <text>
        <r>
          <rPr>
            <b/>
            <sz val="9"/>
            <rFont val="Tahoma"/>
          </rPr>
          <t>user:</t>
        </r>
        <r>
          <rPr>
            <sz val="9"/>
            <rFont val="Tahoma"/>
          </rPr>
          <t xml:space="preserve">
heads/debug_profiling-0-gb9cee85 with "stylegan" environment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tc={80F3E044-5FFD-2CA2-6416-75190749A912}</author>
    <author>tc={62EB9C6E-8384-AB77-B7C6-F0E136C7488A}</author>
  </authors>
  <commentList>
    <comment ref="A1" authorId="0" xr:uid="{80F3E044-5FFD-2CA2-6416-75190749A912}">
      <text>
        <r>
          <rPr>
            <b/>
            <sz val="9"/>
            <rFont val="Tahoma"/>
          </rPr>
          <t>user:</t>
        </r>
        <r>
          <rPr>
            <sz val="9"/>
            <rFont val="Tahoma"/>
          </rPr>
          <t xml:space="preserve">
sg3-t gpu-hotspots 2.3.110 PVC
Apr 02 2025 21:10:41 (Intel PVC IPEX 2.3.110 profiling 2025-04-02.txt)
min/mean/median/max speed when profiling: 0.16 11.62 12.23 12.89 it/s (~84% of the speed when not profiling)
VTune project: z790p:500data/mff/Intel PVC 2025-03/stylegan3/gh/gh.vtune
</t>
        </r>
      </text>
    </comment>
    <comment ref="AI3" authorId="1" xr:uid="{62EB9C6E-8384-AB77-B7C6-F0E136C7488A}">
      <text>
        <r>
          <rPr>
            <b/>
            <sz val="9"/>
            <rFont val="Tahoma"/>
          </rPr>
          <t>user:</t>
        </r>
        <r>
          <rPr>
            <sz val="9"/>
            <rFont val="Tahoma"/>
          </rPr>
          <t xml:space="preserve">
just below the measurement accuracy?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tc={319EC003-E681-B651-2F97-9254B7601D2B}</author>
  </authors>
  <commentList>
    <comment ref="A1" authorId="0" xr:uid="{319EC003-E681-B651-2F97-9254B7601D2B}">
      <text>
        <r>
          <rPr>
            <b/>
            <sz val="9"/>
            <rFont val="Tahoma"/>
          </rPr>
          <t>user:</t>
        </r>
        <r>
          <rPr>
            <sz val="9"/>
            <rFont val="Tahoma"/>
          </rPr>
          <t xml:space="preserve">
sg3-t gpu-hotspots 2.3.110 A770
Apr 03 2025 13:30:11 (# Intel A770 IPEX 2.3.110 profiling 2025-04-03.log)
min/mean/median/max speed when profiling: 0.89 8.51 8.64 8.76 it/s (~93% of the speed when not profiling)
VTune project: z790p:/media/user/a648b44d-0418-4c82-b172-8bd278c99e42/home/user/stylegan3/gh/gh.vtune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tc={FBA8A04F-1144-D4CE-3955-9139357F1DF7}</author>
    <author>tc={49BA0359-1DD6-6E69-0623-10EC65534207}</author>
    <author>tc={71B80EF3-EE31-C54E-AB34-BCEA6BB0C751}</author>
  </authors>
  <commentList>
    <comment ref="A2" authorId="0" xr:uid="{FBA8A04F-1144-D4CE-3955-9139357F1DF7}">
      <text>
        <r>
          <rPr>
            <b/>
            <sz val="9"/>
            <rFont val="Tahoma"/>
          </rPr>
          <t>user:</t>
        </r>
        <r>
          <rPr>
            <sz val="9"/>
            <rFont val="Tahoma"/>
          </rPr>
          <t xml:space="preserve">
heads/debug_profiling-0-g9390a36 with "ENVNAME=stylegan3_2_1_40_xpu"
</t>
        </r>
      </text>
    </comment>
    <comment ref="A3" authorId="1" xr:uid="{49BA0359-1DD6-6E69-0623-10EC65534207}">
      <text>
        <r>
          <rPr>
            <b/>
            <sz val="9"/>
            <rFont val="Tahoma"/>
          </rPr>
          <t>user:</t>
        </r>
        <r>
          <rPr>
            <sz val="9"/>
            <rFont val="Tahoma"/>
          </rPr>
          <t xml:space="preserve">
9390a36a6b1ee05f376ece3fc065dfb77f459ded with "-O1" (which is in the commit)
</t>
        </r>
      </text>
    </comment>
    <comment ref="A4" authorId="2" xr:uid="{71B80EF3-EE31-C54E-AB34-BCEA6BB0C751}">
      <text>
        <r>
          <rPr>
            <b/>
            <sz val="9"/>
            <rFont val="Tahoma"/>
          </rPr>
          <t>user:</t>
        </r>
        <r>
          <rPr>
            <sz val="9"/>
            <rFont val="Tahoma"/>
          </rPr>
          <t xml:space="preserve">
heads/debug_profiling-0-g9390a36 with "stylegan" environment
</t>
        </r>
      </text>
    </comment>
  </commentList>
</comments>
</file>

<file path=xl/sharedStrings.xml><?xml version="1.0" encoding="utf-8"?>
<sst xmlns="http://schemas.openxmlformats.org/spreadsheetml/2006/main" count="315" uniqueCount="315">
  <si>
    <t>stylegan3-r</t>
  </si>
  <si>
    <t>stylegan3-t</t>
  </si>
  <si>
    <t>stylegan2</t>
  </si>
  <si>
    <t xml:space="preserve">&lt; source</t>
  </si>
  <si>
    <t xml:space="preserve">other, less relevant variants of the same plot -&gt;</t>
  </si>
  <si>
    <t xml:space="preserve">A770 (SYCL, PyTorch 2.1.x)</t>
  </si>
  <si>
    <t xml:space="preserve">bench log 2024-12-03.html</t>
  </si>
  <si>
    <t xml:space="preserve">runs.log, 2025-03-27T15:25</t>
  </si>
  <si>
    <t xml:space="preserve">A770 (SYCL, PyTorch 2.3.x)</t>
  </si>
  <si>
    <t xml:space="preserve">runs.log, 2025-03-28T17:10-11</t>
  </si>
  <si>
    <t xml:space="preserve">PVC Max 1100 (SYCL, PyTorch 2.1.x)</t>
  </si>
  <si>
    <t xml:space="preserve">Intel PVC VM stylegan3 more speed measurements (before+after the 5x speedup commit and -01 vs -O3) 2024-11-21.txt</t>
  </si>
  <si>
    <t xml:space="preserve">Intel PVC IPEX 2.1.40 ref+xpu runs.txt, 2025-03-30T21:44-45</t>
  </si>
  <si>
    <t xml:space="preserve">PVC Max 1100 (SYCL, PyTorch 2.3.x)</t>
  </si>
  <si>
    <t xml:space="preserve">Intel PVC IPEX 2.3.110 ref+xpu runs.txt 2025-03-30T22:55-56</t>
  </si>
  <si>
    <t xml:space="preserve">1080Ti (CUDA, PyTorch 1.9.1)</t>
  </si>
  <si>
    <t xml:space="preserve">runs.log, 2025-03-28T17:35-36</t>
  </si>
  <si>
    <t xml:space="preserve">1080Ti (CUDA, PyTorch 2.1.2)</t>
  </si>
  <si>
    <t xml:space="preserve">bench log 2024-12-04.html</t>
  </si>
  <si>
    <t xml:space="preserve">1080Ti (CUDA, PyTorch 2.3.1)</t>
  </si>
  <si>
    <t xml:space="preserve"># pytorch 2.3 on 1080Ti.log, 2025-04-01T12:42</t>
  </si>
  <si>
    <t xml:space="preserve">3060 (CUDA, PyTorch 1.9.1)</t>
  </si>
  <si>
    <t xml:space="preserve"># stylegan3 nv3060 bench3 pytorch 1.9+2.3 CUDA+ref.log, 2025-04-02T11:41-42</t>
  </si>
  <si>
    <t xml:space="preserve">3060 (CUDA, PyTorch 2.3.1)</t>
  </si>
  <si>
    <t xml:space="preserve"># stylegan3 nv3060 bench3 pytorch 1.9+2.3 CUDA+ref.log, 2025-04-02T11:47-48</t>
  </si>
  <si>
    <t xml:space="preserve">A770 ("ref", PyTorch 2.1.x)</t>
  </si>
  <si>
    <t xml:space="preserve">A770 ("ref", PyTorch 2.3.x)</t>
  </si>
  <si>
    <t xml:space="preserve">runs.log, 2025-03-27T17:45-48</t>
  </si>
  <si>
    <t xml:space="preserve">PVC Max 1100 ("ref", PyTorch 2.1.x)</t>
  </si>
  <si>
    <t xml:space="preserve">Intel PVC IPEX 2.1.40 ref+xpu runs.txt, 2025-03-30T21:53-55</t>
  </si>
  <si>
    <t xml:space="preserve">PVC Max 1100 ("ref", PyTorch 2.3.x)</t>
  </si>
  <si>
    <t xml:space="preserve">Intel PVC IPEX 2.3.110 ref+xpu runs.txt 2025-03-30T22:58-59</t>
  </si>
  <si>
    <t xml:space="preserve">1080Ti ("ref", PyTorch 1.9.1)</t>
  </si>
  <si>
    <t xml:space="preserve">runs.log, 2025-03-27T17:38-44</t>
  </si>
  <si>
    <t xml:space="preserve">1080Ti ("ref", PyTorch 2.1.2)</t>
  </si>
  <si>
    <t xml:space="preserve">1080Ti ("ref", PyTorch 2.3.1)</t>
  </si>
  <si>
    <t xml:space="preserve"># pytorch 2.3 on 1080Ti.log, 2025-04-01T12:45-51</t>
  </si>
  <si>
    <t xml:space="preserve">3060 ("ref", PyTorch 1.9.1)</t>
  </si>
  <si>
    <t xml:space="preserve"># stylegan3 nv3060 bench3 pytorch 1.9+2.3 CUDA+ref.log, 2025-04-02T11:13-16</t>
  </si>
  <si>
    <t xml:space="preserve">3060 ("ref", PyTorch 2.3.1)</t>
  </si>
  <si>
    <t xml:space="preserve"># stylegan3 nv3060 bench3 pytorch 1.9+2.3 CUDA+ref.log, 2025-04-02T11:53-56</t>
  </si>
  <si>
    <t xml:space="preserve">Notes: measured with "./bench3.sh" (gen_video.py with [network_variant]-afhqv2-512x512.pkl), always using the median value as the result</t>
  </si>
  <si>
    <t>A770</t>
  </si>
  <si>
    <t xml:space="preserve">PVC Max 1100</t>
  </si>
  <si>
    <t>1080Ti</t>
  </si>
  <si>
    <t>versions</t>
  </si>
  <si>
    <t>pytorch</t>
  </si>
  <si>
    <t xml:space="preserve">2.1.40+xpu, then 2.3.110+xpu</t>
  </si>
  <si>
    <t>2.1.40+xpu</t>
  </si>
  <si>
    <t xml:space="preserve">1.9.1 (py3.9_cuda11.1_cudnn8.0.5_0), and later re-measured with 2.1.2 (py3.9_cuda12.1_cudnn8.9.2_0)</t>
  </si>
  <si>
    <t>driver</t>
  </si>
  <si>
    <t xml:space="preserve">intel-i915-dkms 1.24.3.23.240419.26+i30-1, then intel-i915-dkms 1.24.6.12.240823.13+i14-1</t>
  </si>
  <si>
    <t>?</t>
  </si>
  <si>
    <t xml:space="preserve">Driver Version: 535.183.01</t>
  </si>
  <si>
    <t xml:space="preserve">level zero</t>
  </si>
  <si>
    <t xml:space="preserve">intel-level-zero-gpu 1.3.29735.27-914~22.04, then libze-intel-gpu1 24.39.31294.20-1032~22.04</t>
  </si>
  <si>
    <t xml:space="preserve">CUDA Version: 12.2</t>
  </si>
  <si>
    <t xml:space="preserve">Speedups using custom kernels (comparing matching major.minor PyTorh versions):</t>
  </si>
  <si>
    <t xml:space="preserve">More readable charts (split with/without custom kernels)</t>
  </si>
  <si>
    <t xml:space="preserve">A770 (speedup "ref" -&gt; XPU, PyTorch 2.1.x)</t>
  </si>
  <si>
    <t xml:space="preserve">A770 (speedup "ref" -&gt; XPU, PyTorch 2.3.x)</t>
  </si>
  <si>
    <t xml:space="preserve">&lt;- PT/IPEX 2.3 is a little slower than 2.1 on A770</t>
  </si>
  <si>
    <t xml:space="preserve">PVC Max 1100 (speedup "ref" -&gt; XPU, PyTorch 2.1.x)</t>
  </si>
  <si>
    <t xml:space="preserve">PVC Max 1100 (speedup "ref" -&gt; XPU, PyTorch 2.3.x)</t>
  </si>
  <si>
    <t xml:space="preserve">&lt;- PT/IPEX 2.3 is ~the same as 2.1 on PVC</t>
  </si>
  <si>
    <t xml:space="preserve">1080Ti (speedup "ref" -&gt; CUDA, PyTorch 1.9.1)</t>
  </si>
  <si>
    <t xml:space="preserve">&lt;- just a re-run</t>
  </si>
  <si>
    <t xml:space="preserve">1080Ti (speedup "ref" -&gt; CUDA, PyTorch 2.1.2)</t>
  </si>
  <si>
    <t xml:space="preserve">1080Ti (speedup "ref" -&gt; CUDA, PyTorch 2.3.1)</t>
  </si>
  <si>
    <t xml:space="preserve">3060 (speedup "ref" -&gt; CUDA, PyTorch 1.9.1)</t>
  </si>
  <si>
    <t xml:space="preserve">3060 (speedup "ref" -&gt; CUDA, PyTorch 2.3.1)</t>
  </si>
  <si>
    <t xml:space="preserve">How much is A770 faster than 1800Ti/3060 when using only PyTorch operations ("ref" = no custom kernels)?</t>
  </si>
  <si>
    <t xml:space="preserve">A770 vs 1080Ti (PyTorch 2.1.x vs 1.9.1)</t>
  </si>
  <si>
    <t xml:space="preserve">A770 vs 1080Ti (PyTorch 2.1.x vs 2.1.2)</t>
  </si>
  <si>
    <t xml:space="preserve">&lt;- A770 is about 2x faster than 1080Ti</t>
  </si>
  <si>
    <t xml:space="preserve">A770 vs 1080Ti (PyTorch 2.3.x vs 2.3.1)</t>
  </si>
  <si>
    <t xml:space="preserve">A770 vs 3060 (PyTorch 2.1.x vs 1.9.1)</t>
  </si>
  <si>
    <t xml:space="preserve">A770 vs 3060 (PyTorch 2.3.x vs 2.3.1)</t>
  </si>
  <si>
    <t xml:space="preserve">&lt;- A770 is slightly slower than 3060</t>
  </si>
  <si>
    <t>Observations/notes:</t>
  </si>
  <si>
    <t xml:space="preserve">- stylegan3-t is the relevant architecture (used by SkyGAN)</t>
  </si>
  <si>
    <t xml:space="preserve">- A770+PyTorch2.1, Max1100+PyTorch2.1 and 1080Ti+PyTorch1.9 are measured twice (different commits, slight slowdown, perhaps something is less efficient there as IPEX 2.3 is the first(?) version with native PyTorch support) -&gt; TODO try even newer PyTorch?</t>
  </si>
  <si>
    <t xml:space="preserve">- PyTorch/IPEX 2.3.x seems a bit slower than 2.1.x; (changing -O2 back to -O1 does not make a meaningful difference)</t>
  </si>
  <si>
    <t xml:space="preserve">- (when using custom kernels) overall Max1100 is the fastest, 1080Ti second, then A770 closely follows</t>
  </si>
  <si>
    <t xml:space="preserve">- when NOT using the custom kernels, Intel GPUs are significantly faster -&gt; mayby that's partially why we do not get such high speedups</t>
  </si>
  <si>
    <t xml:space="preserve">Source Computing Task</t>
  </si>
  <si>
    <t xml:space="preserve">Total Time</t>
  </si>
  <si>
    <t xml:space="preserve">Average Time</t>
  </si>
  <si>
    <t xml:space="preserve">Instance Count</t>
  </si>
  <si>
    <t>Size</t>
  </si>
  <si>
    <t xml:space="preserve">Total, GB/sec</t>
  </si>
  <si>
    <t>Active</t>
  </si>
  <si>
    <t>Stalled</t>
  </si>
  <si>
    <t>Idle</t>
  </si>
  <si>
    <t xml:space="preserve">XVE Threads Occupancy</t>
  </si>
  <si>
    <t xml:space="preserve">Computing Threads Started</t>
  </si>
  <si>
    <t xml:space="preserve">ALU0 and ALU1 active</t>
  </si>
  <si>
    <t xml:space="preserve">ALU0 and ALU2 active</t>
  </si>
  <si>
    <t xml:space="preserve">Send active</t>
  </si>
  <si>
    <t xml:space="preserve">Branch active</t>
  </si>
  <si>
    <t xml:space="preserve">ALU0 active</t>
  </si>
  <si>
    <t xml:space="preserve">ALU1 active</t>
  </si>
  <si>
    <t xml:space="preserve">ALU2 active</t>
  </si>
  <si>
    <t xml:space="preserve">Send Instructions</t>
  </si>
  <si>
    <t xml:space="preserve">Control Instructions</t>
  </si>
  <si>
    <t xml:space="preserve">ALU0 Instructions</t>
  </si>
  <si>
    <t xml:space="preserve">ALU1 Instructions</t>
  </si>
  <si>
    <t xml:space="preserve">ALU2 instructions</t>
  </si>
  <si>
    <t>Read</t>
  </si>
  <si>
    <t>Write</t>
  </si>
  <si>
    <t xml:space="preserve">GPU Barriers</t>
  </si>
  <si>
    <t xml:space="preserve">GPU Atomics</t>
  </si>
  <si>
    <t xml:space="preserve">short name</t>
  </si>
  <si>
    <t xml:space="preserve">Total Time [ms]</t>
  </si>
  <si>
    <t xml:space="preserve">is bias_act</t>
  </si>
  <si>
    <t xml:space="preserve">is filtered_lrelu</t>
  </si>
  <si>
    <t xml:space="preserve">is other</t>
  </si>
  <si>
    <t xml:space="preserve">bias_act time</t>
  </si>
  <si>
    <t xml:space="preserve">filtered_lrelu time</t>
  </si>
  <si>
    <t xml:space="preserve">other time</t>
  </si>
  <si>
    <t>[Unknown]</t>
  </si>
  <si>
    <t>0s</t>
  </si>
  <si>
    <t>0ms</t>
  </si>
  <si>
    <t xml:space="preserve">0.0 B </t>
  </si>
  <si>
    <t xml:space="preserve">bias_act_kernel_launch(bias_act_kernel_params)::{lambda(sycl::_V1::handler&amp;)#1}::operator()(sycl::_V1::handler&amp;) const::{lambda()#1}::operator()(void) const::{lambda()#2}::operator()(void) const::{lambda(sycl::_V1::nd_item&lt;(int)3&gt;)#1}</t>
  </si>
  <si>
    <t>0.000s</t>
  </si>
  <si>
    <t>0.008ms</t>
  </si>
  <si>
    <t>conv_reorder</t>
  </si>
  <si>
    <t>0.242s</t>
  </si>
  <si>
    <t>0.083ms</t>
  </si>
  <si>
    <t xml:space="preserve">DpcppElementwiseKernelWithIndexImplFunctor&lt;float, at::AtenIpexTypeXPU::impl::linspace_dpcpp_out_functor_2&lt;float&gt;&gt;</t>
  </si>
  <si>
    <t>0.003ms</t>
  </si>
  <si>
    <t xml:space="preserve">ElementwiseKernelFunctor&lt;at::AtenIpexTypeXPU::dpcpp_loops_launch_legacy_kernel_functor&lt;at::AtenIpexTypeXPU::BinaryFunctor&lt;float, float, float, at::AtenIpexTypeXPU::impl::DivFunctor&lt;float&gt;&gt;, float, OffsetCalculator&lt;(int)3, unsigned int, (bool)0&gt;, (int)3&gt;&gt;</t>
  </si>
  <si>
    <t>0.005ms</t>
  </si>
  <si>
    <t xml:space="preserve">ElementwiseKernelFunctor&lt;at::AtenIpexTypeXPU::dpcpp_loops_launch_legacy_kernel_functor&lt;at::AtenIpexTypeXPU::BinaryFunctor&lt;float, float, float, at::AtenIpexTypeXPU::impl::mul_kernel_dpcpp_functor&lt;float&gt;&gt;, float, OffsetCalculator&lt;(int)3, unsigned int, (bool)0&gt;, (int)3&gt;&gt;</t>
  </si>
  <si>
    <t>0.050s</t>
  </si>
  <si>
    <t>0.010ms</t>
  </si>
  <si>
    <t xml:space="preserve">ElementwiseKernelFunctor&lt;at::AtenIpexTypeXPU::dpcpp_loops_launch_legacy_kernel_functor&lt;at::AtenIpexTypeXPU::impl::fill_kernel_dpcpp_functor&lt;float&gt;, float, OffsetCalculator&lt;(int)1, unsigned int, (bool)0&gt;, (int)1&gt;&gt;</t>
  </si>
  <si>
    <t>0.001s</t>
  </si>
  <si>
    <t xml:space="preserve">ElementwiseKernelFunctor&lt;at::AtenIpexTypeXPU::dpcpp_loops_launch_legacy_kernel_functor&lt;at::impl::direct_copy_kernel_gpu_functor&lt;float&gt;, float, OffsetCalculator&lt;(int)2, unsigned int, (bool)0&gt;, (int)2&gt;&gt;</t>
  </si>
  <si>
    <t>0.003s</t>
  </si>
  <si>
    <t>0.011ms</t>
  </si>
  <si>
    <t>gemm_kernel</t>
  </si>
  <si>
    <t>0.016s</t>
  </si>
  <si>
    <t>gen_conv</t>
  </si>
  <si>
    <t>2.300s</t>
  </si>
  <si>
    <t>2.323ms</t>
  </si>
  <si>
    <t xml:space="preserve">reduce_kernel&lt;(int)1, at::AtenIpexTypeXPU::ReduceOp&lt;float, at::AtenIpexTypeXPU::func_wrapper_t&lt;float, at::AtenIpexTypeXPU::ReduceAddOps&lt;float&gt;&gt;, unsigned int, float, (int)4&gt;&gt;</t>
  </si>
  <si>
    <t>0.018s</t>
  </si>
  <si>
    <t>0.020ms</t>
  </si>
  <si>
    <t xml:space="preserve">reduce_kernel&lt;(int)1, at::AtenIpexTypeXPU::ReduceOp&lt;float, at::AtenIpexTypeXPU::NormOps&lt;float, float&gt;, unsigned int, float, (int)4&gt;&gt;</t>
  </si>
  <si>
    <t>0.002s</t>
  </si>
  <si>
    <t>0.016ms</t>
  </si>
  <si>
    <t xml:space="preserve">reduce_kernel&lt;(int)1, at::AtenIpexTypeXPU::ReduceOp&lt;float, at::AtenIpexTypeXPU::ReduceMeanOps&lt;float, float&gt;, unsigned int, float, (int)4&gt;&gt;</t>
  </si>
  <si>
    <t>0.023s</t>
  </si>
  <si>
    <t>0.012ms</t>
  </si>
  <si>
    <t xml:space="preserve">run_filtered_lrelu_kernel&lt;float, int, (bool)0, (bool)0, (int)0, (int)2, (int)12, (int)2, (int)12, (int)32, (int)46, (int)16, (int)10, (int)0&gt;(void, filtered_lrelu_kernel_params&amp;)::{lambda(sycl::_V1::handler&amp;)#1}::operator()(sycl::_V1::handler&amp;) const::{lambda(sycl::_V1::nd_item&lt;(int)3&gt;)#1}</t>
  </si>
  <si>
    <t xml:space="preserve">run_filtered_lrelu_kernel&lt;float, int, (bool)0, (bool)0, (int)0, (int)2, (int)12, (int)2, (int)12, (int)32, (int)46, (int)16, (int)10, (int)0&gt;(void, filtered_lrelu_kernel_params&amp;)::{lambda(sycl::_V1::handler&amp;)#2}::operator()(sycl::_V1::handler&amp;) const::{lambda(sycl::_V1::nd_item&lt;(int)3&gt;)#1}</t>
  </si>
  <si>
    <t>0.383s</t>
  </si>
  <si>
    <t>0.646ms</t>
  </si>
  <si>
    <t xml:space="preserve">run_filtered_lrelu_kernel&lt;float, int, (bool)0, (bool)0, (int)0, (int)4, (int)24, (int)2, (int)12, (int)32, (int)51, (int)16, (int)5, (int)0&gt;(void, filtered_lrelu_kernel_params&amp;)::{lambda(sycl::_V1::handler&amp;)#1}::operator()(sycl::_V1::handler&amp;) const::{lambda(sycl::_V1::nd_item&lt;(int)3&gt;)#1}</t>
  </si>
  <si>
    <t xml:space="preserve">run_filtered_lrelu_kernel&lt;float, int, (bool)0, (bool)0, (int)0, (int)4, (int)24, (int)2, (int)12, (int)32, (int)51, (int)16, (int)5, (int)0&gt;(void, filtered_lrelu_kernel_params&amp;)::{lambda(sycl::_V1::handler&amp;)#2}::operator()(sycl::_V1::handler&amp;) const::{lambda(sycl::_V1::nd_item&lt;(int)3&gt;)#1}</t>
  </si>
  <si>
    <t>0.212s</t>
  </si>
  <si>
    <t>0.642ms</t>
  </si>
  <si>
    <t xml:space="preserve">run_filtered_lrelu_kernel&lt;float, int, (bool)0, (bool)0, (int)3, (int)1, (int)1, (int)1, (int)1, (int)64, (int)178, (int)32, (int)0, (int)0&gt;(void, filtered_lrelu_kernel_params&amp;)::{lambda(sycl::_V1::handler&amp;)#1}::operator()(sycl::_V1::handler&amp;) const::{lambda(sycl::_V1::nd_item&lt;(int)3&gt;)#1}</t>
  </si>
  <si>
    <t xml:space="preserve">run_filtered_lrelu_kernel&lt;float, int, (bool)0, (bool)0, (int)3, (int)1, (int)1, (int)1, (int)1, (int)64, (int)178, (int)32, (int)0, (int)0&gt;(void, filtered_lrelu_kernel_params&amp;)::{lambda(sycl::_V1::handler&amp;)#2}::operator()(sycl::_V1::handler&amp;) const::{lambda(sycl::_V1::nd_item&lt;(int)3&gt;)#1}</t>
  </si>
  <si>
    <t>0.014ms</t>
  </si>
  <si>
    <t xml:space="preserve">UnrolledElementwiseKernelFunctor&lt;(int)4, at::impl::direct_copy_kernel_gpu_functor&lt;float&gt;, torch_ipex::xpu::dpcpp::Array&lt;char*, (int)2&gt;, TrivialOffsetCalculator&lt;(int)1, unsigned int&gt;, TrivialOffsetCalculator&lt;(int)1, unsigned int&gt;, at::native::Memory::LoadWithCast&lt;(int)1, (bool)1&gt;, at::native::Memory::StoreWithCast&lt;(bool)1&gt;&gt;</t>
  </si>
  <si>
    <t>0.029ms</t>
  </si>
  <si>
    <t xml:space="preserve">VectorizedElementwiseKernelFunctor&lt;at::AtenIpexTypeXPU::AUnaryFunctor&lt;float, float, float, at::AtenIpexTypeXPU::impl::mul_kernel_dpcpp_functor&lt;float&gt;&gt;, torch_ipex::xpu::dpcpp::Array&lt;char*, (int)2&gt;, TrivialOffsetCalculator&lt;(int)1, unsigned int&gt;, (int)4&gt;</t>
  </si>
  <si>
    <t>0.008s</t>
  </si>
  <si>
    <t>0.006ms</t>
  </si>
  <si>
    <t xml:space="preserve">VectorizedElementwiseKernelFunctor&lt;at::AtenIpexTypeXPU::AUnaryFunctor&lt;float, float, float, at::impl::AddKernelDpcppFunctor&lt;float, float&gt;&gt;, torch_ipex::xpu::dpcpp::Array&lt;char*, (int)2&gt;, TrivialOffsetCalculator&lt;(int)1, unsigned int&gt;, (int)4&gt;</t>
  </si>
  <si>
    <t>0.004ms</t>
  </si>
  <si>
    <t xml:space="preserve">VectorizedElementwiseKernelFunctor&lt;at::AtenIpexTypeXPU::BinaryFunctor&lt;float, float, float, at::AtenIpexTypeXPU::impl::mul_kernel_dpcpp_functor&lt;float&gt;&gt;, torch_ipex::xpu::dpcpp::Array&lt;char*, (int)3&gt;, OffsetCalculator&lt;(int)2, unsigned int, (bool)0&gt;, (int)4&gt;</t>
  </si>
  <si>
    <t xml:space="preserve">VectorizedElementwiseKernelFunctor&lt;at::AtenIpexTypeXPU::BinaryFunctor&lt;float, float, float, at::impl::AddKernelDpcppFunctor&lt;float, float&gt;&gt;, torch_ipex::xpu::dpcpp::Array&lt;char*, (int)3&gt;, OffsetCalculator&lt;(int)2, unsigned int, (bool)0&gt;, (int)4&gt;</t>
  </si>
  <si>
    <t>0.007ms</t>
  </si>
  <si>
    <t xml:space="preserve">VectorizedElementwiseKernelFunctor&lt;at::AtenIpexTypeXPU::BinaryFunctor&lt;float, float, float, at::impl::AddKernelDpcppFunctor&lt;float, float&gt;&gt;, torch_ipex::xpu::dpcpp::Array&lt;char*, (int)3&gt;, TrivialOffsetCalculator&lt;(int)2, unsigned int&gt;, (int)4&gt;</t>
  </si>
  <si>
    <t xml:space="preserve">VectorizedElementwiseKernelFunctor&lt;at::AtenIpexTypeXPU::BUnaryFunctor&lt;float, float, float, at::AtenIpexTypeXPU::impl::MulFunctor&lt;float&gt;&gt;, torch_ipex::xpu::dpcpp::Array&lt;char*, (int)2&gt;, TrivialOffsetCalculator&lt;(int)1, unsigned int&gt;, (int)4&gt;</t>
  </si>
  <si>
    <t xml:space="preserve">VectorizedElementwiseKernelFunctor&lt;at::AtenIpexTypeXPU::BUnaryFunctor&lt;float, float, float, at::impl::AddKernelDpcppFunctor&lt;float, float&gt;&gt;, torch_ipex::xpu::dpcpp::Array&lt;char*, (int)2&gt;, TrivialOffsetCalculator&lt;(int)1, unsigned int&gt;, (int)4&gt;</t>
  </si>
  <si>
    <t>0.004s</t>
  </si>
  <si>
    <t xml:space="preserve">VectorizedElementwiseKernelFunctor&lt;at::AtenIpexTypeXPU::clamp_min_max_functor&lt;float, float&gt;, torch_ipex::xpu::dpcpp::Array&lt;char*, (int)2&gt;, TrivialOffsetCalculator&lt;(int)1, unsigned int&gt;, (int)4&gt;</t>
  </si>
  <si>
    <t xml:space="preserve">VectorizedElementwiseKernelFunctor&lt;at::AtenIpexTypeXPU::impl::fill_kernel_dpcpp_functor&lt;float&gt;, torch_ipex::xpu::dpcpp::Array&lt;char*, (int)1&gt;, TrivialOffsetCalculator&lt;(int)0, unsigned int&gt;, (int)4&gt;</t>
  </si>
  <si>
    <t>0.002ms</t>
  </si>
  <si>
    <t xml:space="preserve">VectorizedElementwiseKernelFunctor&lt;at::AtenIpexTypeXPU::neg_out_functor&lt;float&gt;, torch_ipex::xpu::dpcpp::Array&lt;char*, (int)2&gt;, TrivialOffsetCalculator&lt;(int)1, unsigned int&gt;, (int)1&gt;</t>
  </si>
  <si>
    <t xml:space="preserve">VectorizedElementwiseKernelFunctor&lt;at::AtenIpexTypeXPU::neg_out_functor&lt;float&gt;, torch_ipex::xpu::dpcpp::Array&lt;char*, (int)2&gt;, TrivialOffsetCalculator&lt;(int)1, unsigned int&gt;, (int)2&gt;</t>
  </si>
  <si>
    <t xml:space="preserve">VectorizedElementwiseKernelFunctor&lt;at::AtenIpexTypeXPU::pow_tensor_scalar_kernel_impl_functor&lt;float&gt;, torch_ipex::xpu::dpcpp::Array&lt;char*, (int)2&gt;, TrivialOffsetCalculator&lt;(int)1, unsigned int&gt;, (int)4&gt;</t>
  </si>
  <si>
    <t>0.024s</t>
  </si>
  <si>
    <t xml:space="preserve">VectorizedElementwiseKernelFunctor&lt;at::AtenIpexTypeXPU::rsqrt_kernel_xpu_functor&lt;float&gt;, torch_ipex::xpu::dpcpp::Array&lt;char*, (int)2&gt;, TrivialOffsetCalculator&lt;(int)1, unsigned int&gt;, (int)4&gt;</t>
  </si>
  <si>
    <t>0.015s</t>
  </si>
  <si>
    <t xml:space="preserve">VectorizedElementwiseKernelFunctor&lt;at::AtenIpexTypeXPU::sin_out_functor&lt;float&gt;, torch_ipex::xpu::dpcpp::Array&lt;char*, (int)2&gt;, TrivialOffsetCalculator&lt;(int)1, unsigned int&gt;, (int)4&gt;</t>
  </si>
  <si>
    <t xml:space="preserve">VectorizedElementwiseKernelFunctor&lt;at::impl::memcpyAsync_functor&lt;float&gt;, torch_ipex::xpu::dpcpp::Array&lt;char*, (int)2&gt;, TrivialOffsetCalculator&lt;(int)1, unsigned int&gt;, (int)1&gt;</t>
  </si>
  <si>
    <t xml:space="preserve">VectorizedElementwiseKernelFunctor&lt;at::impl::memcpyAsync_functor&lt;float&gt;, torch_ipex::xpu::dpcpp::Array&lt;char*, (int)2&gt;, TrivialOffsetCalculator&lt;(int)1, unsigned int&gt;, (int)2&gt;</t>
  </si>
  <si>
    <t xml:space="preserve">VectorizedElementwiseKernelFunctor&lt;at::impl::memcpyAsync_functor&lt;float&gt;, torch_ipex::xpu::dpcpp::Array&lt;char*, (int)2&gt;, TrivialOffsetCalculator&lt;(int)1, unsigned int&gt;, (int)4&gt;</t>
  </si>
  <si>
    <t>zeCommandListAppendMemoryCopy</t>
  </si>
  <si>
    <t>0.153s</t>
  </si>
  <si>
    <t>0.069ms</t>
  </si>
  <si>
    <t xml:space="preserve">47.1 GB </t>
  </si>
  <si>
    <t>zeCommandListAppendMemoryFill</t>
  </si>
  <si>
    <t xml:space="preserve">14.7 MB </t>
  </si>
  <si>
    <t xml:space="preserve">^ our kernels take &lt;18% of time</t>
  </si>
  <si>
    <t xml:space="preserve">^ most time is spent on convolution (outside our kernel; TODO which operation causes it? would we benefit from making a custom kernel for it?)</t>
  </si>
  <si>
    <t xml:space="preserve">ALU0 and XMX active</t>
  </si>
  <si>
    <t xml:space="preserve">XMX active</t>
  </si>
  <si>
    <t xml:space="preserve">XMX instructions</t>
  </si>
  <si>
    <t xml:space="preserve">Total Time [s]</t>
  </si>
  <si>
    <t>0usec</t>
  </si>
  <si>
    <t>1.511usec</t>
  </si>
  <si>
    <t>3.591ms</t>
  </si>
  <si>
    <t>1.237usec</t>
  </si>
  <si>
    <t>0.149ms</t>
  </si>
  <si>
    <t>1.126usec</t>
  </si>
  <si>
    <t>0.074ms</t>
  </si>
  <si>
    <t>1.114usec</t>
  </si>
  <si>
    <t>4.823ms</t>
  </si>
  <si>
    <t>1.015usec</t>
  </si>
  <si>
    <t>0.417ms</t>
  </si>
  <si>
    <t>1.578usec</t>
  </si>
  <si>
    <t>0.297ms</t>
  </si>
  <si>
    <t>1.122usec</t>
  </si>
  <si>
    <t>2.104ms</t>
  </si>
  <si>
    <t>1.384usec</t>
  </si>
  <si>
    <t>1.328ms</t>
  </si>
  <si>
    <t>1.342usec</t>
  </si>
  <si>
    <t>1.602ms</t>
  </si>
  <si>
    <t>1.733usec</t>
  </si>
  <si>
    <t>0.147ms</t>
  </si>
  <si>
    <t>1.113usec</t>
  </si>
  <si>
    <t>2.227ms</t>
  </si>
  <si>
    <t>1.205usec</t>
  </si>
  <si>
    <t>0.670ms</t>
  </si>
  <si>
    <t>1.127usec</t>
  </si>
  <si>
    <t>1.035ms</t>
  </si>
  <si>
    <t>1.743usec</t>
  </si>
  <si>
    <t>0.353ms</t>
  </si>
  <si>
    <t>1.069usec</t>
  </si>
  <si>
    <t>0.570ms</t>
  </si>
  <si>
    <t>1.728usec</t>
  </si>
  <si>
    <t>0.062ms</t>
  </si>
  <si>
    <t>0.936usec</t>
  </si>
  <si>
    <t>0.116ms</t>
  </si>
  <si>
    <t>1.763usec</t>
  </si>
  <si>
    <t>1.818usec</t>
  </si>
  <si>
    <t xml:space="preserve">VectorizedElementwiseKernelFunctor&lt;at::AtenIpexTypeXPU::AUnaryFunctor&lt;float, float, float, at::AtenIpexTypeXPU::impl::mul_kernel_dpcpp_functor&lt;float&gt;&gt;, torch_ipex::xpu::dpcpp::Array&lt;char*, (int)2&gt;, TrivialOffsetCalculator&lt;(int)1, unsigned int&gt;, (int)2&gt;</t>
  </si>
  <si>
    <t>2.719ms</t>
  </si>
  <si>
    <t>1.870usec</t>
  </si>
  <si>
    <t xml:space="preserve">VectorizedElementwiseKernelFunctor&lt;at::AtenIpexTypeXPU::AUnaryFunctor&lt;float, float, float, at::impl::AddKernelDpcppFunctor&lt;float, float&gt;&gt;, torch_ipex::xpu::dpcpp::Array&lt;char*, (int)2&gt;, TrivialOffsetCalculator&lt;(int)1, unsigned int&gt;, (int)2&gt;</t>
  </si>
  <si>
    <t>0.068ms</t>
  </si>
  <si>
    <t>1.032usec</t>
  </si>
  <si>
    <t xml:space="preserve">VectorizedElementwiseKernelFunctor&lt;at::AtenIpexTypeXPU::BinaryFunctor&lt;float, float, float, at::AtenIpexTypeXPU::impl::mul_kernel_dpcpp_functor&lt;float&gt;&gt;, torch_ipex::xpu::dpcpp::Array&lt;char*, (int)3&gt;, OffsetCalculator&lt;(int)2, unsigned int, (bool)0&gt;, (int)2&gt;</t>
  </si>
  <si>
    <t>0.079ms</t>
  </si>
  <si>
    <t>1.193usec</t>
  </si>
  <si>
    <t xml:space="preserve">VectorizedElementwiseKernelFunctor&lt;at::AtenIpexTypeXPU::BinaryFunctor&lt;float, float, float, at::impl::AddKernelDpcppFunctor&lt;float, float&gt;&gt;, torch_ipex::xpu::dpcpp::Array&lt;char*, (int)3&gt;, OffsetCalculator&lt;(int)2, unsigned int, (bool)0&gt;, (int)2&gt;</t>
  </si>
  <si>
    <t>0.938usec</t>
  </si>
  <si>
    <t xml:space="preserve">VectorizedElementwiseKernelFunctor&lt;at::AtenIpexTypeXPU::BinaryFunctor&lt;float, float, float, at::impl::AddKernelDpcppFunctor&lt;float, float&gt;&gt;, torch_ipex::xpu::dpcpp::Array&lt;char*, (int)3&gt;, TrivialOffsetCalculator&lt;(int)2, unsigned int&gt;, (int)2&gt;</t>
  </si>
  <si>
    <t>0.080ms</t>
  </si>
  <si>
    <t>1.217usec</t>
  </si>
  <si>
    <t xml:space="preserve">VectorizedElementwiseKernelFunctor&lt;at::AtenIpexTypeXPU::BUnaryFunctor&lt;float, float, float, at::AtenIpexTypeXPU::impl::MulFunctor&lt;float&gt;&gt;, torch_ipex::xpu::dpcpp::Array&lt;char*, (int)2&gt;, TrivialOffsetCalculator&lt;(int)1, unsigned int&gt;, (int)2&gt;</t>
  </si>
  <si>
    <t>0.387ms</t>
  </si>
  <si>
    <t>1.467usec</t>
  </si>
  <si>
    <t xml:space="preserve">VectorizedElementwiseKernelFunctor&lt;at::AtenIpexTypeXPU::BUnaryFunctor&lt;float, float, float, at::impl::AddKernelDpcppFunctor&lt;float, float&gt;&gt;, torch_ipex::xpu::dpcpp::Array&lt;char*, (int)2&gt;, TrivialOffsetCalculator&lt;(int)1, unsigned int&gt;, (int)2&gt;</t>
  </si>
  <si>
    <t>1.465ms</t>
  </si>
  <si>
    <t>1.388usec</t>
  </si>
  <si>
    <t xml:space="preserve">VectorizedElementwiseKernelFunctor&lt;at::AtenIpexTypeXPU::clamp_min_max_functor&lt;float, float&gt;, torch_ipex::xpu::dpcpp::Array&lt;char*, (int)2&gt;, TrivialOffsetCalculator&lt;(int)1, unsigned int&gt;, (int)2&gt;</t>
  </si>
  <si>
    <t>0.160ms</t>
  </si>
  <si>
    <t>1.230usec</t>
  </si>
  <si>
    <t xml:space="preserve">VectorizedElementwiseKernelFunctor&lt;at::AtenIpexTypeXPU::impl::fill_kernel_dpcpp_functor&lt;float&gt;, torch_ipex::xpu::dpcpp::Array&lt;char*, (int)1&gt;, TrivialOffsetCalculator&lt;(int)0, unsigned int&gt;, (int)2&gt;</t>
  </si>
  <si>
    <t>0.532ms</t>
  </si>
  <si>
    <t>1.151usec</t>
  </si>
  <si>
    <t>1.112usec</t>
  </si>
  <si>
    <t>0.066ms</t>
  </si>
  <si>
    <t>0.999usec</t>
  </si>
  <si>
    <t xml:space="preserve">VectorizedElementwiseKernelFunctor&lt;at::AtenIpexTypeXPU::pow_tensor_scalar_kernel_impl_functor&lt;float&gt;, torch_ipex::xpu::dpcpp::Array&lt;char*, (int)2&gt;, TrivialOffsetCalculator&lt;(int)1, unsigned int&gt;, (int)2&gt;</t>
  </si>
  <si>
    <t>3.721ms</t>
  </si>
  <si>
    <t xml:space="preserve">VectorizedElementwiseKernelFunctor&lt;at::AtenIpexTypeXPU::rsqrt_kernel_xpu_functor&lt;float&gt;, torch_ipex::xpu::dpcpp::Array&lt;char*, (int)2&gt;, TrivialOffsetCalculator&lt;(int)1, unsigned int&gt;, (int)2&gt;</t>
  </si>
  <si>
    <t>5.081ms</t>
  </si>
  <si>
    <t>1.350usec</t>
  </si>
  <si>
    <t xml:space="preserve">VectorizedElementwiseKernelFunctor&lt;at::AtenIpexTypeXPU::sin_out_functor&lt;float&gt;, torch_ipex::xpu::dpcpp::Array&lt;char*, (int)2&gt;, TrivialOffsetCalculator&lt;(int)1, unsigned int&gt;, (int)2&gt;</t>
  </si>
  <si>
    <t>0.099ms</t>
  </si>
  <si>
    <t>1.506usec</t>
  </si>
  <si>
    <t>0.195ms</t>
  </si>
  <si>
    <t>0.986usec</t>
  </si>
  <si>
    <t>0.680ms</t>
  </si>
  <si>
    <t>1.293usec</t>
  </si>
  <si>
    <t>9.905ms</t>
  </si>
  <si>
    <t>4.452usec</t>
  </si>
  <si>
    <t xml:space="preserve">^ our kernels take &lt;7% of time</t>
  </si>
  <si>
    <t xml:space="preserve">^ most time is spent on memory copy</t>
  </si>
  <si>
    <t xml:space="preserve">TODO check the custom kernel vs. total usage ... is it in line with what we measured on A770/PVC?</t>
  </si>
  <si>
    <t>min</t>
  </si>
  <si>
    <t>mean</t>
  </si>
  <si>
    <t>median</t>
  </si>
  <si>
    <t>max</t>
  </si>
  <si>
    <t>2025-03-27T15:36:46+01:00</t>
  </si>
  <si>
    <t>Z790P</t>
  </si>
  <si>
    <t>stylegan3_2_3_110_xpu</t>
  </si>
  <si>
    <t>heads/debug_profiling-0-gdab3304-dirty</t>
  </si>
  <si>
    <t>stylegan2-afhqv2-512x512.pkl</t>
  </si>
  <si>
    <t>min/mean/median/max</t>
  </si>
  <si>
    <t>rate:</t>
  </si>
  <si>
    <t>it/s</t>
  </si>
  <si>
    <t xml:space="preserve">inter-run standard deviation (percentage of average value)</t>
  </si>
  <si>
    <t>2025-03-27T17:11:15+01:00</t>
  </si>
  <si>
    <t>2025-03-27T17:14:01+01:00</t>
  </si>
  <si>
    <t>2025-03-27T15:33:32+01:00</t>
  </si>
  <si>
    <t>stylegan3-r-afhqv2-512x512.pkl</t>
  </si>
  <si>
    <t>2025-03-27T17:10:37+01:00</t>
  </si>
  <si>
    <t>2025-03-27T17:13:23+01:00</t>
  </si>
  <si>
    <t>2025-03-27T15:36:29+01:00</t>
  </si>
  <si>
    <t>stylegan3-t-afhqv2-512x512.pkl</t>
  </si>
  <si>
    <t>2025-03-27T17:10:57+01:00</t>
  </si>
  <si>
    <t>2025-03-27T17:13:43+01:00</t>
  </si>
  <si>
    <t>avg</t>
  </si>
  <si>
    <t xml:space="preserve">-&gt; we should probably measure the average it/s or max it/s rather than the currently used median speed</t>
  </si>
  <si>
    <t xml:space="preserve">1080Ti (CUDA)</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</si>
</sst>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4">
    <numFmt numFmtId="164" formatCode="0.0"/>
    <numFmt numFmtId="165" formatCode="[$-F400]h:mm:ss AM/PM"/>
    <numFmt numFmtId="166" formatCode="0.000"/>
    <numFmt numFmtId="167" formatCode="0.000000"/>
  </numFmts>
  <fonts count="3">
    <font>
      <sz val="11.000000"/>
      <color theme="1"/>
      <name val="Calibri"/>
      <scheme val="minor"/>
    </font>
    <font>
      <sz val="11.000000"/>
      <color theme="1" tint="0.499984740745262"/>
      <name val="Calibri"/>
      <scheme val="minor"/>
    </font>
    <font>
      <b/>
      <sz val="11.000000"/>
      <color theme="1"/>
      <name val="Calibri"/>
      <scheme val="minor"/>
    </font>
  </fonts>
  <fills count="3">
    <fill>
      <patternFill patternType="none"/>
    </fill>
    <fill>
      <patternFill patternType="gray125"/>
    </fill>
    <fill>
      <patternFill patternType="solid">
        <fgColor theme="9" tint="0.79998168889431442"/>
        <bgColor theme="9" tint="0.79998168889431442"/>
      </patternFill>
    </fill>
  </fills>
  <borders count="1">
    <border>
      <left style="none"/>
      <right style="none"/>
      <top style="none"/>
      <bottom style="none"/>
      <diagonal style="none"/>
    </border>
  </borders>
  <cellStyleXfs count="1">
    <xf fontId="0" fillId="0" borderId="0" numFmtId="0" applyNumberFormat="1" applyFont="1" applyFill="1" applyBorder="1"/>
  </cellStyleXfs>
  <cellXfs count="37">
    <xf fontId="0" fillId="0" borderId="0" numFmtId="0" xfId="0"/>
    <xf fontId="1" fillId="0" borderId="0" numFmtId="0" xfId="0" applyFont="1"/>
    <xf fontId="0" fillId="0" borderId="0" numFmtId="0" xfId="0" applyAlignment="1">
      <alignment vertical="top" wrapText="1"/>
    </xf>
    <xf fontId="0" fillId="0" borderId="0" numFmtId="2" xfId="0" applyNumberFormat="1"/>
    <xf fontId="0" fillId="0" borderId="0" numFmtId="0" xfId="0">
      <protection hidden="0" locked="1"/>
    </xf>
    <xf fontId="0" fillId="0" borderId="0" numFmtId="0" xfId="0"/>
    <xf fontId="0" fillId="0" borderId="0" numFmtId="0" xfId="0"/>
    <xf fontId="0" fillId="0" borderId="0" numFmtId="0" xfId="0">
      <protection hidden="0" locked="1"/>
    </xf>
    <xf fontId="0" fillId="0" borderId="0" numFmtId="2" xfId="0" applyNumberFormat="1"/>
    <xf fontId="1" fillId="0" borderId="0" numFmtId="0" xfId="0" applyFont="1"/>
    <xf fontId="0" fillId="0" borderId="0" numFmtId="0" xfId="0">
      <protection hidden="0" locked="1"/>
    </xf>
    <xf fontId="2" fillId="0" borderId="0" numFmtId="0" xfId="0" applyFont="1"/>
    <xf fontId="0" fillId="0" borderId="0" numFmtId="164" xfId="0" applyNumberFormat="1"/>
    <xf fontId="1" fillId="0" borderId="0" numFmtId="2" xfId="0" applyNumberFormat="1" applyFont="1"/>
    <xf fontId="0" fillId="0" borderId="0" numFmtId="0" xfId="0" applyAlignment="1">
      <alignment horizontal="left" vertical="center"/>
    </xf>
    <xf fontId="0" fillId="0" borderId="0" numFmtId="0" xfId="0"/>
    <xf fontId="0" fillId="0" borderId="0" numFmtId="165" xfId="0" applyNumberFormat="1"/>
    <xf fontId="0" fillId="2" borderId="0" numFmtId="0" xfId="0" applyFill="1"/>
    <xf fontId="0" fillId="2" borderId="0" numFmtId="0" xfId="0" applyFill="1"/>
    <xf fontId="0" fillId="0" borderId="0" numFmtId="10" xfId="0" applyNumberFormat="1"/>
    <xf fontId="0" fillId="0" borderId="0" numFmtId="3" xfId="0" applyNumberFormat="1"/>
    <xf fontId="0" fillId="0" borderId="0" numFmtId="9" xfId="0" applyNumberFormat="1"/>
    <xf fontId="0" fillId="0" borderId="0" numFmtId="0" xfId="0"/>
    <xf fontId="0" fillId="2" borderId="0" numFmtId="166" xfId="0" applyNumberFormat="1" applyFill="1"/>
    <xf fontId="2" fillId="0" borderId="0" numFmtId="165" xfId="0" applyNumberFormat="1" applyFont="1"/>
    <xf fontId="2" fillId="0" borderId="0" numFmtId="10" xfId="0" applyNumberFormat="1" applyFont="1"/>
    <xf fontId="2" fillId="0" borderId="0" numFmtId="3" xfId="0" applyNumberFormat="1" applyFont="1"/>
    <xf fontId="2" fillId="0" borderId="0" numFmtId="9" xfId="0" applyNumberFormat="1" applyFont="1"/>
    <xf fontId="0" fillId="0" borderId="0" numFmtId="4" xfId="0" applyNumberFormat="1"/>
    <xf fontId="2" fillId="2" borderId="0" numFmtId="166" xfId="0" applyNumberFormat="1" applyFont="1" applyFill="1"/>
    <xf fontId="0" fillId="0" borderId="0" numFmtId="166" xfId="0" applyNumberFormat="1"/>
    <xf fontId="0" fillId="0" borderId="0" numFmtId="0" xfId="0" applyAlignment="1">
      <alignment horizontal="center"/>
    </xf>
    <xf fontId="0" fillId="2" borderId="0" numFmtId="167" xfId="0" applyNumberFormat="1" applyFill="1"/>
    <xf fontId="2" fillId="0" borderId="0" numFmtId="4" xfId="0" applyNumberFormat="1" applyFont="1"/>
    <xf fontId="2" fillId="2" borderId="0" numFmtId="167" xfId="0" applyNumberFormat="1" applyFont="1" applyFill="1"/>
    <xf fontId="0" fillId="0" borderId="0" numFmtId="0" xfId="0" applyAlignment="1">
      <alignment horizontal="center"/>
    </xf>
    <xf fontId="0" fillId="0" borderId="0" numFmtId="0" xfId="0"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microsoft.com/office/2017/10/relationships/person" Target="persons/person.xml"/><Relationship  Id="rId10"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theme" Target="theme/theme1.xml"/><Relationship  Id="rId9" Type="http://schemas.openxmlformats.org/officeDocument/2006/relationships/sharedStrings" Target="sharedString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2.xml.rels><?xml version="1.0" encoding="UTF-8" standalone="yes"?><Relationships xmlns="http://schemas.openxmlformats.org/package/2006/relationships"><Relationship Id="rId1" Type="http://schemas.microsoft.com/office/2011/relationships/chartStyle" Target="style2.xml" /><Relationship Id="rId2" Type="http://schemas.microsoft.com/office/2011/relationships/chartColorStyle" Target="colors2.xml" /></Relationships>
</file>

<file path=xl/charts/_rels/chart3.xml.rels><?xml version="1.0" encoding="UTF-8" standalone="yes"?><Relationships xmlns="http://schemas.openxmlformats.org/package/2006/relationships"><Relationship Id="rId1" Type="http://schemas.microsoft.com/office/2011/relationships/chartStyle" Target="style3.xml" /><Relationship Id="rId2" Type="http://schemas.microsoft.com/office/2011/relationships/chartColorStyle" Target="colors3.xml" /></Relationships>
</file>

<file path=xl/charts/_rels/chart4.xml.rels><?xml version="1.0" encoding="UTF-8" standalone="yes"?><Relationships xmlns="http://schemas.openxmlformats.org/package/2006/relationships"><Relationship Id="rId1" Type="http://schemas.microsoft.com/office/2011/relationships/chartStyle" Target="style4.xml" /><Relationship Id="rId2" Type="http://schemas.microsoft.com/office/2011/relationships/chartColorStyle" Target="colors4.xml" /></Relationships>
</file>

<file path=xl/charts/_rels/chart5.xml.rels><?xml version="1.0" encoding="UTF-8" standalone="yes"?><Relationships xmlns="http://schemas.openxmlformats.org/package/2006/relationships"><Relationship Id="rId1" Type="http://schemas.microsoft.com/office/2011/relationships/chartStyle" Target="style5.xml" /><Relationship Id="rId2" Type="http://schemas.microsoft.com/office/2011/relationships/chartColorStyle" Target="colors5.xml" /></Relationships>
</file>

<file path=xl/charts/_rels/chart6.xml.rels><?xml version="1.0" encoding="UTF-8" standalone="yes"?><Relationships xmlns="http://schemas.openxmlformats.org/package/2006/relationships"><Relationship Id="rId1" Type="http://schemas.microsoft.com/office/2011/relationships/chartStyle" Target="style6.xml" /><Relationship Id="rId2" Type="http://schemas.microsoft.com/office/2011/relationships/chartColorStyle" Target="colors6.xml" /></Relationships>
</file>

<file path=xl/charts/_rels/chart7.xml.rels><?xml version="1.0" encoding="UTF-8" standalone="yes"?><Relationships xmlns="http://schemas.openxmlformats.org/package/2006/relationships"><Relationship Id="rId1" Type="http://schemas.microsoft.com/office/2011/relationships/chartStyle" Target="style7.xml" /><Relationship Id="rId2" Type="http://schemas.microsoft.com/office/2011/relationships/chartColorStyle" Target="colors7.xml" /></Relationships>
</file>

<file path=xl/charts/_rels/chart8.xml.rels><?xml version="1.0" encoding="UTF-8" standalone="yes"?><Relationships xmlns="http://schemas.openxmlformats.org/package/2006/relationships"><Relationship Id="rId1" Type="http://schemas.microsoft.com/office/2011/relationships/chartStyle" Target="style8.xml" /><Relationship Id="rId2" Type="http://schemas.microsoft.com/office/2011/relationships/chartColorStyle" Target="colors8.xml" /></Relationships>
</file>

<file path=xl/charts/_rels/chart9.xml.rels><?xml version="1.0" encoding="UTF-8" standalone="yes"?><Relationships xmlns="http://schemas.openxmlformats.org/package/2006/relationships"><Relationship Id="rId1" Type="http://schemas.microsoft.com/office/2011/relationships/chartStyle" Target="style9.xml" /><Relationship Id="rId2" Type="http://schemas.microsoft.com/office/2011/relationships/chartColorStyle" Target="colors9.xml" /></Relationships>
</file>

<file path=xl/charts/_rels/chart10.xml.rels><?xml version="1.0" encoding="UTF-8" standalone="yes"?><Relationships xmlns="http://schemas.openxmlformats.org/package/2006/relationships"><Relationship Id="rId1" Type="http://schemas.microsoft.com/office/2011/relationships/chartStyle" Target="style10.xml" /><Relationship Id="rId2" Type="http://schemas.microsoft.com/office/2011/relationships/chartColorStyle" Target="colors10.xml" /></Relationships>
</file>

<file path=xl/charts/_rels/chart11.xml.rels><?xml version="1.0" encoding="UTF-8" standalone="yes"?><Relationships xmlns="http://schemas.openxmlformats.org/package/2006/relationships"><Relationship Id="rId1" Type="http://schemas.microsoft.com/office/2011/relationships/chartStyle" Target="style11.xml" /><Relationship Id="rId2" Type="http://schemas.microsoft.com/office/2011/relationships/chartColorStyle" Target="colors11.xml" /></Relationships>
</file>

<file path=xl/charts/_rels/chart12.xml.rels><?xml version="1.0" encoding="UTF-8" standalone="yes"?><Relationships xmlns="http://schemas.openxmlformats.org/package/2006/relationships"><Relationship Id="rId1" Type="http://schemas.microsoft.com/office/2011/relationships/chartStyle" Target="style12.xml" /><Relationship Id="rId2" Type="http://schemas.microsoft.com/office/2011/relationships/chartColorStyle" Target="colors12.xml" /></Relationships>
</file>

<file path=xl/charts/_rels/chart13.xml.rels><?xml version="1.0" encoding="UTF-8" standalone="yes"?><Relationships xmlns="http://schemas.openxmlformats.org/package/2006/relationships"><Relationship Id="rId1" Type="http://schemas.microsoft.com/office/2011/relationships/chartStyle" Target="style13.xml" /><Relationship Id="rId2" Type="http://schemas.microsoft.com/office/2011/relationships/chartColorStyle" Target="colors13.xml" /></Relationships>
</file>

<file path=xl/charts/_rels/chart14.xml.rels><?xml version="1.0" encoding="UTF-8" standalone="yes"?><Relationships xmlns="http://schemas.openxmlformats.org/package/2006/relationships"><Relationship Id="rId1" Type="http://schemas.microsoft.com/office/2011/relationships/chartStyle" Target="style14.xml" /><Relationship Id="rId2" Type="http://schemas.microsoft.com/office/2011/relationships/chartColorStyle" Target="colors14.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b="1"/>
              <a:t>stylegan3-r</a:t>
            </a:r>
            <a:r>
              <a:rPr/>
              <a:t>ecnamrofrep </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current!$A$2</c:f>
              <c:strCache>
                <c:ptCount val="1"/>
                <c:pt idx="0">
                  <c:v>A770 (SYCL, PyTorch 2.1.x)</c:v>
                </c:pt>
              </c:strCache>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current!$B$2</c:f>
              <c:numCache>
                <c:formatCode>0.00</c:formatCode>
                <c:ptCount val="1"/>
                <c:pt idx="0">
                  <c:v>7.45</c:v>
                </c:pt>
              </c:numCache>
            </c:numRef>
          </c:val>
        </c:ser>
        <c:ser>
          <c:idx val="1"/>
          <c:order val="1"/>
          <c:tx>
            <c:strRef>
              <c:f>current!$A$3</c:f>
              <c:strCache>
                <c:ptCount val="1"/>
                <c:pt idx="0">
                  <c:v>A770 (SYCL, PyTorch 2.1.x)</c:v>
                </c:pt>
              </c:strCache>
            </c:strRef>
          </c:tx>
          <c:spPr bwMode="auto">
            <a:prstGeom prst="rect">
              <a:avLst/>
            </a:prstGeom>
            <a:solidFill>
              <a:schemeClr val="accent2"/>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current!$B$3</c:f>
              <c:numCache>
                <c:formatCode>0.00</c:formatCode>
                <c:ptCount val="1"/>
                <c:pt idx="0">
                  <c:v>7.26</c:v>
                </c:pt>
              </c:numCache>
            </c:numRef>
          </c:val>
        </c:ser>
        <c:ser>
          <c:idx val="2"/>
          <c:order val="2"/>
          <c:tx>
            <c:strRef>
              <c:f>current!$A$4</c:f>
              <c:strCache>
                <c:ptCount val="1"/>
                <c:pt idx="0">
                  <c:v>A770 (SYCL, PyTorch 2.3.x)</c:v>
                </c:pt>
              </c:strCache>
            </c:strRef>
          </c:tx>
          <c:spPr bwMode="auto">
            <a:prstGeom prst="rect">
              <a:avLst/>
            </a:prstGeom>
            <a:solidFill>
              <a:schemeClr val="accent3"/>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current!$B$4</c:f>
              <c:numCache>
                <c:formatCode>0.00</c:formatCode>
                <c:ptCount val="1"/>
                <c:pt idx="0">
                  <c:v>6.83</c:v>
                </c:pt>
              </c:numCache>
            </c:numRef>
          </c:val>
        </c:ser>
        <c:ser>
          <c:idx val="3"/>
          <c:order val="3"/>
          <c:tx>
            <c:strRef>
              <c:f>current!$A$5</c:f>
              <c:strCache>
                <c:ptCount val="1"/>
                <c:pt idx="0">
                  <c:v>PVC Max 1100 (SYCL, PyTorch 2.1.x)</c:v>
                </c:pt>
              </c:strCache>
            </c:strRef>
          </c:tx>
          <c:spPr bwMode="auto">
            <a:prstGeom prst="rect">
              <a:avLst/>
            </a:prstGeom>
            <a:solidFill>
              <a:schemeClr val="accent4"/>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current!$B$5</c:f>
              <c:numCache>
                <c:formatCode>0.00</c:formatCode>
                <c:ptCount val="1"/>
                <c:pt idx="0">
                  <c:v>6.42</c:v>
                </c:pt>
              </c:numCache>
            </c:numRef>
          </c:val>
        </c:ser>
        <c:ser>
          <c:idx val="4"/>
          <c:order val="4"/>
          <c:tx>
            <c:strRef>
              <c:f>current!$A$6</c:f>
              <c:strCache>
                <c:ptCount val="1"/>
                <c:pt idx="0">
                  <c:v>PVC Max 1100 (SYCL, PyTorch 2.1.x)</c:v>
                </c:pt>
              </c:strCache>
            </c:strRef>
          </c:tx>
          <c:spPr bwMode="auto">
            <a:prstGeom prst="rect">
              <a:avLst/>
            </a:prstGeom>
            <a:solidFill>
              <a:schemeClr val="accent5"/>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current!$B$6</c:f>
              <c:numCache>
                <c:formatCode>0.00</c:formatCode>
                <c:ptCount val="1"/>
                <c:pt idx="0">
                  <c:v>6.3</c:v>
                </c:pt>
              </c:numCache>
            </c:numRef>
          </c:val>
        </c:ser>
        <c:ser>
          <c:idx val="5"/>
          <c:order val="5"/>
          <c:tx>
            <c:strRef>
              <c:f>current!$A$7</c:f>
              <c:strCache>
                <c:ptCount val="1"/>
                <c:pt idx="0">
                  <c:v>PVC Max 1100 (SYCL, PyTorch 2.3.x)</c:v>
                </c:pt>
              </c:strCache>
            </c:strRef>
          </c:tx>
          <c:spPr bwMode="auto">
            <a:prstGeom prst="rect">
              <a:avLst/>
            </a:prstGeom>
            <a:solidFill>
              <a:schemeClr val="accent6"/>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current!$B$7</c:f>
              <c:numCache>
                <c:formatCode>0.00</c:formatCode>
                <c:ptCount val="1"/>
                <c:pt idx="0">
                  <c:v>6.45</c:v>
                </c:pt>
              </c:numCache>
            </c:numRef>
          </c:val>
        </c:ser>
        <c:ser>
          <c:idx val="6"/>
          <c:order val="6"/>
          <c:tx>
            <c:strRef>
              <c:f>current!$A$8</c:f>
              <c:strCache>
                <c:ptCount val="1"/>
                <c:pt idx="0">
                  <c:v>1080Ti (CUDA, PyTorch 1.9.1)</c:v>
                </c:pt>
              </c:strCache>
            </c:strRef>
          </c:tx>
          <c:spPr bwMode="auto">
            <a:prstGeom prst="rect">
              <a:avLst/>
            </a:prstGeom>
            <a:solidFill>
              <a:schemeClr val="accent1">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current!$B$8</c:f>
              <c:numCache>
                <c:formatCode>0.00</c:formatCode>
                <c:ptCount val="1"/>
                <c:pt idx="0">
                  <c:v>11.9</c:v>
                </c:pt>
              </c:numCache>
            </c:numRef>
          </c:val>
        </c:ser>
        <c:ser>
          <c:idx val="7"/>
          <c:order val="7"/>
          <c:tx>
            <c:strRef>
              <c:f>current!$A$9</c:f>
              <c:strCache>
                <c:ptCount val="1"/>
                <c:pt idx="0">
                  <c:v>1080Ti (CUDA, PyTorch 1.9.1)</c:v>
                </c:pt>
              </c:strCache>
            </c:strRef>
          </c:tx>
          <c:spPr bwMode="auto">
            <a:prstGeom prst="rect">
              <a:avLst/>
            </a:prstGeom>
            <a:solidFill>
              <a:schemeClr val="accent2">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current!$B$9</c:f>
              <c:numCache>
                <c:formatCode>0.00</c:formatCode>
                <c:ptCount val="1"/>
                <c:pt idx="0">
                  <c:v>12.63</c:v>
                </c:pt>
              </c:numCache>
            </c:numRef>
          </c:val>
        </c:ser>
        <c:ser>
          <c:idx val="8"/>
          <c:order val="8"/>
          <c:tx>
            <c:strRef>
              <c:f>current!$A$10</c:f>
              <c:strCache>
                <c:ptCount val="1"/>
                <c:pt idx="0">
                  <c:v>1080Ti (CUDA, PyTorch 2.1.2)</c:v>
                </c:pt>
              </c:strCache>
            </c:strRef>
          </c:tx>
          <c:spPr bwMode="auto">
            <a:prstGeom prst="rect">
              <a:avLst/>
            </a:prstGeom>
            <a:solidFill>
              <a:schemeClr val="accent3">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current!$B$10</c:f>
              <c:numCache>
                <c:formatCode>0.00</c:formatCode>
                <c:ptCount val="1"/>
                <c:pt idx="0">
                  <c:v>13.86</c:v>
                </c:pt>
              </c:numCache>
            </c:numRef>
          </c:val>
        </c:ser>
        <c:ser>
          <c:idx val="9"/>
          <c:order val="9"/>
          <c:tx>
            <c:strRef>
              <c:f>current!$A$11</c:f>
              <c:strCache>
                <c:ptCount val="1"/>
                <c:pt idx="0">
                  <c:v>1080Ti (CUDA, PyTorch 2.3.1)</c:v>
                </c:pt>
              </c:strCache>
            </c:strRef>
          </c:tx>
          <c:spPr bwMode="auto">
            <a:prstGeom prst="rect">
              <a:avLst/>
            </a:prstGeom>
            <a:solidFill>
              <a:schemeClr val="accent4">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current!$B$11</c:f>
              <c:numCache>
                <c:formatCode>0.00</c:formatCode>
                <c:ptCount val="1"/>
                <c:pt idx="0">
                  <c:v>14.84</c:v>
                </c:pt>
              </c:numCache>
            </c:numRef>
          </c:val>
        </c:ser>
        <c:ser>
          <c:idx val="10"/>
          <c:order val="10"/>
          <c:tx>
            <c:strRef>
              <c:f>current!$A$12</c:f>
              <c:strCache>
                <c:ptCount val="1"/>
                <c:pt idx="0">
                  <c:v>3060 (CUDA, PyTorch 1.9.1)</c:v>
                </c:pt>
              </c:strCache>
            </c:strRef>
          </c:tx>
          <c:spPr bwMode="auto">
            <a:prstGeom prst="rect">
              <a:avLst/>
            </a:prstGeom>
            <a:solidFill>
              <a:schemeClr val="accent5">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current!$B$12</c:f>
              <c:numCache>
                <c:formatCode>0.00</c:formatCode>
                <c:ptCount val="1"/>
                <c:pt idx="0">
                  <c:v>15.05</c:v>
                </c:pt>
              </c:numCache>
            </c:numRef>
          </c:val>
        </c:ser>
        <c:ser>
          <c:idx val="11"/>
          <c:order val="11"/>
          <c:tx>
            <c:strRef>
              <c:f>current!$A$13</c:f>
              <c:strCache>
                <c:ptCount val="1"/>
                <c:pt idx="0">
                  <c:v>3060 (CUDA, PyTorch 2.3.1)</c:v>
                </c:pt>
              </c:strCache>
            </c:strRef>
          </c:tx>
          <c:spPr bwMode="auto">
            <a:prstGeom prst="rect">
              <a:avLst/>
            </a:prstGeom>
            <a:solidFill>
              <a:schemeClr val="accent6">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current!$B$13</c:f>
              <c:numCache>
                <c:formatCode>0.00</c:formatCode>
                <c:ptCount val="1"/>
                <c:pt idx="0">
                  <c:v>17.63</c:v>
                </c:pt>
              </c:numCache>
            </c:numRef>
          </c:val>
        </c:ser>
        <c:ser>
          <c:idx val="12"/>
          <c:order val="12"/>
          <c:tx>
            <c:strRef>
              <c:f>current!$A$14</c:f>
              <c:strCache>
                <c:ptCount val="1"/>
                <c:pt idx="0">
                  <c:v>A770 ("ref", PyTorch 2.1.x)</c:v>
                </c:pt>
              </c:strCache>
            </c:strRef>
          </c:tx>
          <c:spPr bwMode="auto">
            <a:prstGeom prst="rect">
              <a:avLst/>
            </a:prstGeom>
            <a:solidFill>
              <a:schemeClr val="accent1">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current!$B$14</c:f>
              <c:numCache>
                <c:formatCode>0.00</c:formatCode>
                <c:ptCount val="1"/>
                <c:pt idx="0">
                  <c:v>1.01</c:v>
                </c:pt>
              </c:numCache>
            </c:numRef>
          </c:val>
        </c:ser>
        <c:ser>
          <c:idx val="13"/>
          <c:order val="13"/>
          <c:tx>
            <c:strRef>
              <c:f>current!$A$15</c:f>
              <c:strCache>
                <c:ptCount val="1"/>
                <c:pt idx="0">
                  <c:v>A770 ("ref", PyTorch 2.3.x)</c:v>
                </c:pt>
              </c:strCache>
            </c:strRef>
          </c:tx>
          <c:spPr bwMode="auto">
            <a:prstGeom prst="rect">
              <a:avLst/>
            </a:prstGeom>
            <a:solidFill>
              <a:schemeClr val="accent2">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current!$B$15</c:f>
              <c:numCache>
                <c:formatCode>0.00</c:formatCode>
                <c:ptCount val="1"/>
                <c:pt idx="0">
                  <c:v>1.01</c:v>
                </c:pt>
              </c:numCache>
            </c:numRef>
          </c:val>
        </c:ser>
        <c:ser>
          <c:idx val="14"/>
          <c:order val="14"/>
          <c:tx>
            <c:strRef>
              <c:f>current!$A$16</c:f>
              <c:strCache>
                <c:ptCount val="1"/>
                <c:pt idx="0">
                  <c:v>PVC Max 1100 ("ref", PyTorch 2.1.x)</c:v>
                </c:pt>
              </c:strCache>
            </c:strRef>
          </c:tx>
          <c:spPr bwMode="auto">
            <a:prstGeom prst="rect">
              <a:avLst/>
            </a:prstGeom>
            <a:solidFill>
              <a:schemeClr val="accent3">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current!$B$16</c:f>
              <c:numCache>
                <c:formatCode>0.00</c:formatCode>
                <c:ptCount val="1"/>
                <c:pt idx="0">
                  <c:v>1.86</c:v>
                </c:pt>
              </c:numCache>
            </c:numRef>
          </c:val>
        </c:ser>
        <c:ser>
          <c:idx val="15"/>
          <c:order val="15"/>
          <c:tx>
            <c:strRef>
              <c:f>current!$A$17</c:f>
              <c:strCache>
                <c:ptCount val="1"/>
                <c:pt idx="0">
                  <c:v>PVC Max 1100 ("ref", PyTorch 2.3.x)</c:v>
                </c:pt>
              </c:strCache>
            </c:strRef>
          </c:tx>
          <c:spPr bwMode="auto">
            <a:prstGeom prst="rect">
              <a:avLst/>
            </a:prstGeom>
            <a:solidFill>
              <a:schemeClr val="accent4">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current!$B$17</c:f>
              <c:numCache>
                <c:formatCode>0.00</c:formatCode>
                <c:ptCount val="1"/>
                <c:pt idx="0">
                  <c:v>1.86</c:v>
                </c:pt>
              </c:numCache>
            </c:numRef>
          </c:val>
        </c:ser>
        <c:ser>
          <c:idx val="16"/>
          <c:order val="16"/>
          <c:tx>
            <c:strRef>
              <c:f>current!$A$18</c:f>
              <c:strCache>
                <c:ptCount val="1"/>
                <c:pt idx="0">
                  <c:v>1080Ti ("ref", PyTorch 1.9.1)</c:v>
                </c:pt>
              </c:strCache>
            </c:strRef>
          </c:tx>
          <c:spPr bwMode="auto">
            <a:prstGeom prst="rect">
              <a:avLst/>
            </a:prstGeom>
            <a:solidFill>
              <a:schemeClr val="accent5">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current!$B$18</c:f>
              <c:numCache>
                <c:formatCode>0.00</c:formatCode>
                <c:ptCount val="1"/>
                <c:pt idx="0">
                  <c:v>0.24</c:v>
                </c:pt>
              </c:numCache>
            </c:numRef>
          </c:val>
        </c:ser>
        <c:ser>
          <c:idx val="17"/>
          <c:order val="17"/>
          <c:tx>
            <c:strRef>
              <c:f>current!$A$19</c:f>
              <c:strCache>
                <c:ptCount val="1"/>
                <c:pt idx="0">
                  <c:v>1080Ti ("ref", PyTorch 1.9.1)</c:v>
                </c:pt>
              </c:strCache>
            </c:strRef>
          </c:tx>
          <c:spPr bwMode="auto">
            <a:prstGeom prst="rect">
              <a:avLst/>
            </a:prstGeom>
            <a:solidFill>
              <a:schemeClr val="accent6">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current!$B$19</c:f>
              <c:numCache>
                <c:formatCode>0.00</c:formatCode>
                <c:ptCount val="1"/>
                <c:pt idx="0">
                  <c:v>0.26</c:v>
                </c:pt>
              </c:numCache>
            </c:numRef>
          </c:val>
        </c:ser>
        <c:ser>
          <c:idx val="18"/>
          <c:order val="18"/>
          <c:tx>
            <c:strRef>
              <c:f>current!$A$20</c:f>
              <c:strCache>
                <c:ptCount val="1"/>
                <c:pt idx="0">
                  <c:v>1080Ti ("ref", PyTorch 2.1.2)</c:v>
                </c:pt>
              </c:strCache>
            </c:strRef>
          </c:tx>
          <c:spPr bwMode="auto">
            <a:prstGeom prst="rect">
              <a:avLst/>
            </a:prstGeom>
            <a:solidFill>
              <a:schemeClr val="accent1">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current!$B$20</c:f>
              <c:numCache>
                <c:formatCode>0.00</c:formatCode>
                <c:ptCount val="1"/>
                <c:pt idx="0">
                  <c:v>0.23</c:v>
                </c:pt>
              </c:numCache>
            </c:numRef>
          </c:val>
        </c:ser>
        <c:ser>
          <c:idx val="19"/>
          <c:order val="19"/>
          <c:tx>
            <c:strRef>
              <c:f>current!$A$21</c:f>
              <c:strCache>
                <c:ptCount val="1"/>
                <c:pt idx="0">
                  <c:v>1080Ti ("ref", PyTorch 2.3.1)</c:v>
                </c:pt>
              </c:strCache>
            </c:strRef>
          </c:tx>
          <c:spPr bwMode="auto">
            <a:prstGeom prst="rect">
              <a:avLst/>
            </a:prstGeom>
            <a:solidFill>
              <a:schemeClr val="accent2">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current!$B$21</c:f>
              <c:numCache>
                <c:formatCode>0.00</c:formatCode>
                <c:ptCount val="1"/>
                <c:pt idx="0">
                  <c:v>0.27</c:v>
                </c:pt>
              </c:numCache>
            </c:numRef>
          </c:val>
        </c:ser>
        <c:ser>
          <c:idx val="20"/>
          <c:order val="20"/>
          <c:tx>
            <c:strRef>
              <c:f>current!$A$22</c:f>
              <c:strCache>
                <c:ptCount val="1"/>
                <c:pt idx="0">
                  <c:v>3060 ("ref", PyTorch 1.9.1)</c:v>
                </c:pt>
              </c:strCache>
            </c:strRef>
          </c:tx>
          <c:spPr bwMode="auto">
            <a:prstGeom prst="rect">
              <a:avLst/>
            </a:prstGeom>
            <a:solidFill>
              <a:schemeClr val="accent3">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current!$B$22</c:f>
              <c:numCache>
                <c:formatCode>0.00</c:formatCode>
                <c:ptCount val="1"/>
                <c:pt idx="0">
                  <c:v>0.81</c:v>
                </c:pt>
              </c:numCache>
            </c:numRef>
          </c:val>
        </c:ser>
        <c:ser>
          <c:idx val="21"/>
          <c:order val="21"/>
          <c:tx>
            <c:strRef>
              <c:f>current!$A$23</c:f>
              <c:strCache>
                <c:ptCount val="1"/>
                <c:pt idx="0">
                  <c:v>3060 ("ref", PyTorch 2.3.1)</c:v>
                </c:pt>
              </c:strCache>
            </c:strRef>
          </c:tx>
          <c:spPr bwMode="auto">
            <a:prstGeom prst="rect">
              <a:avLst/>
            </a:prstGeom>
            <a:solidFill>
              <a:schemeClr val="accent4">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current!$B$23</c:f>
              <c:numCache>
                <c:formatCode>0.00</c:formatCode>
                <c:ptCount val="1"/>
                <c:pt idx="0">
                  <c:v>0.78</c:v>
                </c:pt>
              </c:numCache>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5"/>
        <c:axId val="2140842315"/>
        <c:axId val="2140842316"/>
      </c:barChart>
      <c:catAx>
        <c:axId val="2140842315"/>
        <c:scaling>
          <c:orientation val="minMax"/>
        </c:scaling>
        <c:delete val="1"/>
        <c:axPos val="b"/>
        <c:numFmt formatCode="General" sourceLinked="1"/>
        <c:majorTickMark val="none"/>
        <c:minorTickMark val="none"/>
        <c:tickLblPos val="none"/>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316"/>
        <c:crosses val="autoZero"/>
        <c:auto val="1"/>
        <c:lblAlgn val="ctr"/>
        <c:lblOffset val="100"/>
        <c:tickMarkSkip val="1"/>
        <c:noMultiLvlLbl val="0"/>
      </c:catAx>
      <c:valAx>
        <c:axId val="2140842316"/>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title>
          <c:tx>
            <c:rich>
              <a:bodyPr/>
              <a:p>
                <a:pPr>
                  <a:defRPr/>
                </a:pPr>
                <a:r>
                  <a:rPr/>
                  <a:t>it/s</a:t>
                </a:r>
                <a:endParaRPr/>
              </a:p>
            </c:rich>
          </c:tx>
          <c:layout/>
          <c:overlay val="0"/>
          <c:spPr bwMode="auto">
            <a:prstGeom prst="rect">
              <a:avLst/>
            </a:prstGeom>
            <a:noFill/>
            <a:ln>
              <a:noFill/>
            </a:ln>
          </c:spPr>
          <c:txPr>
            <a:bodyPr/>
            <a:p>
              <a:pPr>
                <a:defRPr sz="1000">
                  <a:solidFill>
                    <a:schemeClr val="tx1">
                      <a:lumMod val="65000"/>
                      <a:lumOff val="35000"/>
                    </a:schemeClr>
                  </a:solidFill>
                  <a:latin typeface="+mn-lt"/>
                  <a:ea typeface="+mn-ea"/>
                  <a:cs typeface="+mn-cs"/>
                </a:defRPr>
              </a:pPr>
              <a:endParaRPr/>
            </a:p>
          </c:txPr>
        </c:title>
        <c:numFmt formatCode="0.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315"/>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15335249" y="38097"/>
      <a:ext cx="7086600" cy="5953124"/>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b="1"/>
              <a:t>stylegan2</a:t>
            </a:r>
            <a:r>
              <a:rPr/>
              <a:t>ecnamrofrep </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current!$A$2</c:f>
              <c:strCache>
                <c:ptCount val="1"/>
                <c:pt idx="0">
                  <c:v>A770 (SYCL, PyTorch 2.1.x)</c:v>
                </c:pt>
              </c:strCache>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current!$D$2</c:f>
              <c:numCache>
                <c:formatCode>0.00</c:formatCode>
                <c:ptCount val="1"/>
                <c:pt idx="0">
                  <c:v>27.27</c:v>
                </c:pt>
              </c:numCache>
            </c:numRef>
          </c:val>
        </c:ser>
        <c:ser>
          <c:idx val="1"/>
          <c:order val="1"/>
          <c:tx>
            <c:strRef>
              <c:f>current!$A$3</c:f>
              <c:strCache>
                <c:ptCount val="1"/>
                <c:pt idx="0">
                  <c:v>A770 (SYCL, PyTorch 2.1.x)</c:v>
                </c:pt>
              </c:strCache>
            </c:strRef>
          </c:tx>
          <c:spPr bwMode="auto">
            <a:prstGeom prst="rect">
              <a:avLst/>
            </a:prstGeom>
            <a:solidFill>
              <a:schemeClr val="accent2"/>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current!$D$3</c:f>
              <c:numCache>
                <c:formatCode>0.00</c:formatCode>
                <c:ptCount val="1"/>
                <c:pt idx="0">
                  <c:v>27.23</c:v>
                </c:pt>
              </c:numCache>
            </c:numRef>
          </c:val>
        </c:ser>
        <c:ser>
          <c:idx val="2"/>
          <c:order val="2"/>
          <c:tx>
            <c:strRef>
              <c:f>current!$A$4</c:f>
              <c:strCache>
                <c:ptCount val="1"/>
                <c:pt idx="0">
                  <c:v>A770 (SYCL, PyTorch 2.3.x)</c:v>
                </c:pt>
              </c:strCache>
            </c:strRef>
          </c:tx>
          <c:spPr bwMode="auto">
            <a:prstGeom prst="rect">
              <a:avLst/>
            </a:prstGeom>
            <a:solidFill>
              <a:schemeClr val="accent3"/>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current!$D$4</c:f>
              <c:numCache>
                <c:formatCode>0.00</c:formatCode>
                <c:ptCount val="1"/>
                <c:pt idx="0">
                  <c:v>21.14</c:v>
                </c:pt>
              </c:numCache>
            </c:numRef>
          </c:val>
        </c:ser>
        <c:ser>
          <c:idx val="3"/>
          <c:order val="3"/>
          <c:tx>
            <c:strRef>
              <c:f>current!$A$5</c:f>
              <c:strCache>
                <c:ptCount val="1"/>
                <c:pt idx="0">
                  <c:v>PVC Max 1100 (SYCL, PyTorch 2.1.x)</c:v>
                </c:pt>
              </c:strCache>
            </c:strRef>
          </c:tx>
          <c:spPr bwMode="auto">
            <a:prstGeom prst="rect">
              <a:avLst/>
            </a:prstGeom>
            <a:solidFill>
              <a:schemeClr val="accent4"/>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current!$D$5</c:f>
              <c:numCache>
                <c:formatCode>0.00</c:formatCode>
                <c:ptCount val="1"/>
                <c:pt idx="0">
                  <c:v>33.37</c:v>
                </c:pt>
              </c:numCache>
            </c:numRef>
          </c:val>
        </c:ser>
        <c:ser>
          <c:idx val="4"/>
          <c:order val="4"/>
          <c:tx>
            <c:strRef>
              <c:f>current!$A$6</c:f>
              <c:strCache>
                <c:ptCount val="1"/>
                <c:pt idx="0">
                  <c:v>PVC Max 1100 (SYCL, PyTorch 2.1.x)</c:v>
                </c:pt>
              </c:strCache>
            </c:strRef>
          </c:tx>
          <c:spPr bwMode="auto">
            <a:prstGeom prst="rect">
              <a:avLst/>
            </a:prstGeom>
            <a:solidFill>
              <a:schemeClr val="accent5"/>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current!$D$6</c:f>
              <c:numCache>
                <c:formatCode>0.00</c:formatCode>
                <c:ptCount val="1"/>
                <c:pt idx="0">
                  <c:v>32.62</c:v>
                </c:pt>
              </c:numCache>
            </c:numRef>
          </c:val>
        </c:ser>
        <c:ser>
          <c:idx val="5"/>
          <c:order val="5"/>
          <c:tx>
            <c:strRef>
              <c:f>current!$A$7</c:f>
              <c:strCache>
                <c:ptCount val="1"/>
                <c:pt idx="0">
                  <c:v>PVC Max 1100 (SYCL, PyTorch 2.3.x)</c:v>
                </c:pt>
              </c:strCache>
            </c:strRef>
          </c:tx>
          <c:spPr bwMode="auto">
            <a:prstGeom prst="rect">
              <a:avLst/>
            </a:prstGeom>
            <a:solidFill>
              <a:schemeClr val="accent6"/>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current!$D$7</c:f>
              <c:numCache>
                <c:formatCode>0.00</c:formatCode>
                <c:ptCount val="1"/>
                <c:pt idx="0">
                  <c:v>35.04</c:v>
                </c:pt>
              </c:numCache>
            </c:numRef>
          </c:val>
        </c:ser>
        <c:ser>
          <c:idx val="6"/>
          <c:order val="6"/>
          <c:tx>
            <c:strRef>
              <c:f>current!$A$8</c:f>
              <c:strCache>
                <c:ptCount val="1"/>
                <c:pt idx="0">
                  <c:v>1080Ti (CUDA, PyTorch 1.9.1)</c:v>
                </c:pt>
              </c:strCache>
            </c:strRef>
          </c:tx>
          <c:spPr bwMode="auto">
            <a:prstGeom prst="rect">
              <a:avLst/>
            </a:prstGeom>
            <a:solidFill>
              <a:schemeClr val="accent1">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current!$D$8</c:f>
              <c:numCache>
                <c:formatCode>0.00</c:formatCode>
                <c:ptCount val="1"/>
                <c:pt idx="0">
                  <c:v>20.83</c:v>
                </c:pt>
              </c:numCache>
            </c:numRef>
          </c:val>
        </c:ser>
        <c:ser>
          <c:idx val="7"/>
          <c:order val="7"/>
          <c:tx>
            <c:strRef>
              <c:f>current!$A$9</c:f>
              <c:strCache>
                <c:ptCount val="1"/>
                <c:pt idx="0">
                  <c:v>1080Ti (CUDA, PyTorch 1.9.1)</c:v>
                </c:pt>
              </c:strCache>
            </c:strRef>
          </c:tx>
          <c:spPr bwMode="auto">
            <a:prstGeom prst="rect">
              <a:avLst/>
            </a:prstGeom>
            <a:solidFill>
              <a:schemeClr val="accent2">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current!$D$9</c:f>
              <c:numCache>
                <c:formatCode>0.00</c:formatCode>
                <c:ptCount val="1"/>
                <c:pt idx="0">
                  <c:v>22.07</c:v>
                </c:pt>
              </c:numCache>
            </c:numRef>
          </c:val>
        </c:ser>
        <c:ser>
          <c:idx val="8"/>
          <c:order val="8"/>
          <c:tx>
            <c:strRef>
              <c:f>current!$A$10</c:f>
              <c:strCache>
                <c:ptCount val="1"/>
                <c:pt idx="0">
                  <c:v>1080Ti (CUDA, PyTorch 2.1.2)</c:v>
                </c:pt>
              </c:strCache>
            </c:strRef>
          </c:tx>
          <c:spPr bwMode="auto">
            <a:prstGeom prst="rect">
              <a:avLst/>
            </a:prstGeom>
            <a:solidFill>
              <a:schemeClr val="accent3">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current!$D$10</c:f>
              <c:numCache>
                <c:formatCode>0.00</c:formatCode>
                <c:ptCount val="1"/>
                <c:pt idx="0">
                  <c:v>36.68</c:v>
                </c:pt>
              </c:numCache>
            </c:numRef>
          </c:val>
        </c:ser>
        <c:ser>
          <c:idx val="9"/>
          <c:order val="9"/>
          <c:tx>
            <c:strRef>
              <c:f>current!$A$11</c:f>
              <c:strCache>
                <c:ptCount val="1"/>
                <c:pt idx="0">
                  <c:v>1080Ti (CUDA, PyTorch 2.3.1)</c:v>
                </c:pt>
              </c:strCache>
            </c:strRef>
          </c:tx>
          <c:spPr bwMode="auto">
            <a:prstGeom prst="rect">
              <a:avLst/>
            </a:prstGeom>
            <a:solidFill>
              <a:schemeClr val="accent4">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current!$D$11</c:f>
              <c:numCache>
                <c:formatCode>0.00</c:formatCode>
                <c:ptCount val="1"/>
                <c:pt idx="0">
                  <c:v>38.2</c:v>
                </c:pt>
              </c:numCache>
            </c:numRef>
          </c:val>
        </c:ser>
        <c:ser>
          <c:idx val="10"/>
          <c:order val="10"/>
          <c:tx>
            <c:strRef>
              <c:f>current!$A$12</c:f>
              <c:strCache>
                <c:ptCount val="1"/>
                <c:pt idx="0">
                  <c:v>3060 (CUDA, PyTorch 1.9.1)</c:v>
                </c:pt>
              </c:strCache>
            </c:strRef>
          </c:tx>
          <c:spPr bwMode="auto">
            <a:prstGeom prst="rect">
              <a:avLst/>
            </a:prstGeom>
            <a:solidFill>
              <a:schemeClr val="accent5">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current!$D$12</c:f>
              <c:numCache>
                <c:formatCode>0.00</c:formatCode>
                <c:ptCount val="1"/>
                <c:pt idx="0">
                  <c:v>42.22</c:v>
                </c:pt>
              </c:numCache>
            </c:numRef>
          </c:val>
        </c:ser>
        <c:ser>
          <c:idx val="11"/>
          <c:order val="11"/>
          <c:tx>
            <c:strRef>
              <c:f>current!$A$13</c:f>
              <c:strCache>
                <c:ptCount val="1"/>
                <c:pt idx="0">
                  <c:v>3060 (CUDA, PyTorch 2.3.1)</c:v>
                </c:pt>
              </c:strCache>
            </c:strRef>
          </c:tx>
          <c:spPr bwMode="auto">
            <a:prstGeom prst="rect">
              <a:avLst/>
            </a:prstGeom>
            <a:solidFill>
              <a:schemeClr val="accent6">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current!$D$13</c:f>
              <c:numCache>
                <c:formatCode>0.00</c:formatCode>
                <c:ptCount val="1"/>
                <c:pt idx="0">
                  <c:v>52.83</c:v>
                </c:pt>
              </c:numCache>
            </c:numRef>
          </c:val>
        </c:ser>
        <c:ser>
          <c:idx val="12"/>
          <c:order val="12"/>
          <c:tx>
            <c:strRef>
              <c:f>current!$A$14</c:f>
              <c:strCache>
                <c:ptCount val="1"/>
                <c:pt idx="0">
                  <c:v>A770 ("ref", PyTorch 2.1.x)</c:v>
                </c:pt>
              </c:strCache>
            </c:strRef>
          </c:tx>
          <c:spPr bwMode="auto">
            <a:prstGeom prst="rect">
              <a:avLst/>
            </a:prstGeom>
            <a:solidFill>
              <a:schemeClr val="accent1">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current!$D$14</c:f>
              <c:numCache>
                <c:formatCode>0.00</c:formatCode>
                <c:ptCount val="1"/>
                <c:pt idx="0">
                  <c:v>24.52</c:v>
                </c:pt>
              </c:numCache>
            </c:numRef>
          </c:val>
        </c:ser>
        <c:ser>
          <c:idx val="13"/>
          <c:order val="13"/>
          <c:tx>
            <c:strRef>
              <c:f>current!$A$15</c:f>
              <c:strCache>
                <c:ptCount val="1"/>
                <c:pt idx="0">
                  <c:v>A770 ("ref", PyTorch 2.3.x)</c:v>
                </c:pt>
              </c:strCache>
            </c:strRef>
          </c:tx>
          <c:spPr bwMode="auto">
            <a:prstGeom prst="rect">
              <a:avLst/>
            </a:prstGeom>
            <a:solidFill>
              <a:schemeClr val="accent2">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current!$D$15</c:f>
              <c:numCache>
                <c:formatCode>0.00</c:formatCode>
                <c:ptCount val="1"/>
                <c:pt idx="0">
                  <c:v>20.69</c:v>
                </c:pt>
              </c:numCache>
            </c:numRef>
          </c:val>
        </c:ser>
        <c:ser>
          <c:idx val="14"/>
          <c:order val="14"/>
          <c:tx>
            <c:strRef>
              <c:f>current!$A$16</c:f>
              <c:strCache>
                <c:ptCount val="1"/>
                <c:pt idx="0">
                  <c:v>PVC Max 1100 ("ref", PyTorch 2.1.x)</c:v>
                </c:pt>
              </c:strCache>
            </c:strRef>
          </c:tx>
          <c:spPr bwMode="auto">
            <a:prstGeom prst="rect">
              <a:avLst/>
            </a:prstGeom>
            <a:solidFill>
              <a:schemeClr val="accent3">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current!$D$16</c:f>
              <c:numCache>
                <c:formatCode>0.00</c:formatCode>
                <c:ptCount val="1"/>
                <c:pt idx="0">
                  <c:v>34.75</c:v>
                </c:pt>
              </c:numCache>
            </c:numRef>
          </c:val>
        </c:ser>
        <c:ser>
          <c:idx val="15"/>
          <c:order val="15"/>
          <c:tx>
            <c:strRef>
              <c:f>current!$A$17</c:f>
              <c:strCache>
                <c:ptCount val="1"/>
                <c:pt idx="0">
                  <c:v>PVC Max 1100 ("ref", PyTorch 2.3.x)</c:v>
                </c:pt>
              </c:strCache>
            </c:strRef>
          </c:tx>
          <c:spPr bwMode="auto">
            <a:prstGeom prst="rect">
              <a:avLst/>
            </a:prstGeom>
            <a:solidFill>
              <a:schemeClr val="accent4">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current!$D$17</c:f>
              <c:numCache>
                <c:formatCode>0.00</c:formatCode>
                <c:ptCount val="1"/>
                <c:pt idx="0">
                  <c:v>36.38</c:v>
                </c:pt>
              </c:numCache>
            </c:numRef>
          </c:val>
        </c:ser>
        <c:ser>
          <c:idx val="16"/>
          <c:order val="16"/>
          <c:tx>
            <c:strRef>
              <c:f>current!$A$18</c:f>
              <c:strCache>
                <c:ptCount val="1"/>
                <c:pt idx="0">
                  <c:v>1080Ti ("ref", PyTorch 1.9.1)</c:v>
                </c:pt>
              </c:strCache>
            </c:strRef>
          </c:tx>
          <c:spPr bwMode="auto">
            <a:prstGeom prst="rect">
              <a:avLst/>
            </a:prstGeom>
            <a:solidFill>
              <a:schemeClr val="accent5">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current!$D$18</c:f>
              <c:numCache>
                <c:formatCode>0.00</c:formatCode>
                <c:ptCount val="1"/>
                <c:pt idx="0">
                  <c:v>15.13</c:v>
                </c:pt>
              </c:numCache>
            </c:numRef>
          </c:val>
        </c:ser>
        <c:ser>
          <c:idx val="17"/>
          <c:order val="17"/>
          <c:tx>
            <c:strRef>
              <c:f>current!$A$19</c:f>
              <c:strCache>
                <c:ptCount val="1"/>
                <c:pt idx="0">
                  <c:v>1080Ti ("ref", PyTorch 1.9.1)</c:v>
                </c:pt>
              </c:strCache>
            </c:strRef>
          </c:tx>
          <c:spPr bwMode="auto">
            <a:prstGeom prst="rect">
              <a:avLst/>
            </a:prstGeom>
            <a:solidFill>
              <a:schemeClr val="accent6">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current!$D$19</c:f>
              <c:numCache>
                <c:formatCode>0.00</c:formatCode>
                <c:ptCount val="1"/>
                <c:pt idx="0">
                  <c:v>16.02</c:v>
                </c:pt>
              </c:numCache>
            </c:numRef>
          </c:val>
        </c:ser>
        <c:ser>
          <c:idx val="18"/>
          <c:order val="18"/>
          <c:tx>
            <c:strRef>
              <c:f>current!$A$20</c:f>
              <c:strCache>
                <c:ptCount val="1"/>
                <c:pt idx="0">
                  <c:v>1080Ti ("ref", PyTorch 2.1.2)</c:v>
                </c:pt>
              </c:strCache>
            </c:strRef>
          </c:tx>
          <c:spPr bwMode="auto">
            <a:prstGeom prst="rect">
              <a:avLst/>
            </a:prstGeom>
            <a:solidFill>
              <a:schemeClr val="accent1">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current!$D$20</c:f>
              <c:numCache>
                <c:formatCode>0.00</c:formatCode>
                <c:ptCount val="1"/>
                <c:pt idx="0">
                  <c:v>22.7</c:v>
                </c:pt>
              </c:numCache>
            </c:numRef>
          </c:val>
        </c:ser>
        <c:ser>
          <c:idx val="19"/>
          <c:order val="19"/>
          <c:tx>
            <c:strRef>
              <c:f>current!$A$21</c:f>
              <c:strCache>
                <c:ptCount val="1"/>
                <c:pt idx="0">
                  <c:v>1080Ti ("ref", PyTorch 2.3.1)</c:v>
                </c:pt>
              </c:strCache>
            </c:strRef>
          </c:tx>
          <c:spPr bwMode="auto">
            <a:prstGeom prst="rect">
              <a:avLst/>
            </a:prstGeom>
            <a:solidFill>
              <a:schemeClr val="accent2">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current!$D$21</c:f>
              <c:numCache>
                <c:formatCode>0.00</c:formatCode>
                <c:ptCount val="1"/>
                <c:pt idx="0">
                  <c:v>25.14</c:v>
                </c:pt>
              </c:numCache>
            </c:numRef>
          </c:val>
        </c:ser>
        <c:ser>
          <c:idx val="20"/>
          <c:order val="20"/>
          <c:tx>
            <c:strRef>
              <c:f>current!$A$22</c:f>
              <c:strCache>
                <c:ptCount val="1"/>
                <c:pt idx="0">
                  <c:v>3060 ("ref", PyTorch 1.9.1)</c:v>
                </c:pt>
              </c:strCache>
            </c:strRef>
          </c:tx>
          <c:spPr bwMode="auto">
            <a:prstGeom prst="rect">
              <a:avLst/>
            </a:prstGeom>
            <a:solidFill>
              <a:schemeClr val="accent3">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current!$D$22</c:f>
              <c:numCache>
                <c:formatCode>0.00</c:formatCode>
                <c:ptCount val="1"/>
                <c:pt idx="0">
                  <c:v>29.75</c:v>
                </c:pt>
              </c:numCache>
            </c:numRef>
          </c:val>
        </c:ser>
        <c:ser>
          <c:idx val="21"/>
          <c:order val="21"/>
          <c:tx>
            <c:strRef>
              <c:f>current!$A$23</c:f>
              <c:strCache>
                <c:ptCount val="1"/>
                <c:pt idx="0">
                  <c:v>3060 ("ref", PyTorch 2.3.1)</c:v>
                </c:pt>
              </c:strCache>
            </c:strRef>
          </c:tx>
          <c:spPr bwMode="auto">
            <a:prstGeom prst="rect">
              <a:avLst/>
            </a:prstGeom>
            <a:solidFill>
              <a:schemeClr val="accent4">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current!$D$23</c:f>
              <c:numCache>
                <c:formatCode>0.00</c:formatCode>
                <c:ptCount val="1"/>
                <c:pt idx="0">
                  <c:v>39.83</c:v>
                </c:pt>
              </c:numCache>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3"/>
        <c:axId val="2140842287"/>
        <c:axId val="2140842288"/>
      </c:barChart>
      <c:catAx>
        <c:axId val="2140842287"/>
        <c:scaling>
          <c:orientation val="minMax"/>
        </c:scaling>
        <c:delete val="1"/>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288"/>
        <c:crosses val="autoZero"/>
        <c:auto val="1"/>
        <c:lblAlgn val="ctr"/>
        <c:lblOffset val="100"/>
        <c:tickMarkSkip val="1"/>
        <c:noMultiLvlLbl val="0"/>
      </c:catAx>
      <c:valAx>
        <c:axId val="2140842288"/>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title>
          <c:tx>
            <c:rich>
              <a:bodyPr/>
              <a:p>
                <a:pPr>
                  <a:defRPr/>
                </a:pPr>
                <a:r>
                  <a:rPr/>
                  <a:t>it/s</a:t>
                </a:r>
                <a:endParaRPr/>
              </a:p>
            </c:rich>
          </c:tx>
          <c:layout/>
          <c:overlay val="0"/>
          <c:spPr bwMode="auto">
            <a:prstGeom prst="rect">
              <a:avLst/>
            </a:prstGeom>
            <a:noFill/>
            <a:ln>
              <a:noFill/>
            </a:ln>
          </c:spPr>
          <c:txPr>
            <a:bodyPr/>
            <a:p>
              <a:pPr>
                <a:defRPr sz="1000">
                  <a:solidFill>
                    <a:schemeClr val="tx1">
                      <a:lumMod val="65000"/>
                      <a:lumOff val="35000"/>
                    </a:schemeClr>
                  </a:solidFill>
                  <a:latin typeface="+mn-lt"/>
                  <a:ea typeface="+mn-ea"/>
                  <a:cs typeface="+mn-cs"/>
                </a:defRPr>
              </a:pPr>
              <a:endParaRPr/>
            </a:p>
          </c:txPr>
        </c:title>
        <c:numFmt formatCode="0.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287"/>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22650450" y="38097"/>
      <a:ext cx="7086600" cy="5953124"/>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b="1"/>
              <a:t>stylegan3-t</a:t>
            </a:r>
            <a:r>
              <a:rPr/>
              <a:t>ecnamrofrep  overview (across different GPUs and with/without custom kernels)</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current!$A$2</c:f>
              <c:strCache>
                <c:ptCount val="1"/>
                <c:pt idx="0">
                  <c:v>A770 (SYCL, PyTorch 2.1.x)</c:v>
                </c:pt>
              </c:strCache>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current!$C$2</c:f>
              <c:numCache>
                <c:formatCode>0.00</c:formatCode>
                <c:ptCount val="1"/>
                <c:pt idx="0">
                  <c:v>10.01</c:v>
                </c:pt>
              </c:numCache>
            </c:numRef>
          </c:val>
        </c:ser>
        <c:ser>
          <c:idx val="1"/>
          <c:order val="1"/>
          <c:tx>
            <c:strRef>
              <c:f>current!$A$3</c:f>
              <c:strCache>
                <c:ptCount val="1"/>
                <c:pt idx="0">
                  <c:v>A770 (SYCL, PyTorch 2.1.x)</c:v>
                </c:pt>
              </c:strCache>
            </c:strRef>
          </c:tx>
          <c:spPr bwMode="auto">
            <a:prstGeom prst="rect">
              <a:avLst/>
            </a:prstGeom>
            <a:solidFill>
              <a:schemeClr val="accent2"/>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current!$C$3</c:f>
              <c:numCache>
                <c:formatCode>0.00</c:formatCode>
                <c:ptCount val="1"/>
                <c:pt idx="0">
                  <c:v>9.98</c:v>
                </c:pt>
              </c:numCache>
            </c:numRef>
          </c:val>
        </c:ser>
        <c:ser>
          <c:idx val="2"/>
          <c:order val="2"/>
          <c:tx>
            <c:strRef>
              <c:f>current!$A$4</c:f>
              <c:strCache>
                <c:ptCount val="1"/>
                <c:pt idx="0">
                  <c:v>A770 (SYCL, PyTorch 2.3.x)</c:v>
                </c:pt>
              </c:strCache>
            </c:strRef>
          </c:tx>
          <c:spPr bwMode="auto">
            <a:prstGeom prst="rect">
              <a:avLst/>
            </a:prstGeom>
            <a:solidFill>
              <a:schemeClr val="accent3"/>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current!$C$4</c:f>
              <c:numCache>
                <c:formatCode>0.00</c:formatCode>
                <c:ptCount val="1"/>
                <c:pt idx="0">
                  <c:v>9.29</c:v>
                </c:pt>
              </c:numCache>
            </c:numRef>
          </c:val>
        </c:ser>
        <c:ser>
          <c:idx val="3"/>
          <c:order val="3"/>
          <c:tx>
            <c:strRef>
              <c:f>current!$A$5</c:f>
              <c:strCache>
                <c:ptCount val="1"/>
                <c:pt idx="0">
                  <c:v>PVC Max 1100 (SYCL, PyTorch 2.1.x)</c:v>
                </c:pt>
              </c:strCache>
            </c:strRef>
          </c:tx>
          <c:spPr bwMode="auto">
            <a:prstGeom prst="rect">
              <a:avLst/>
            </a:prstGeom>
            <a:solidFill>
              <a:schemeClr val="accent4"/>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current!$C$5</c:f>
              <c:numCache>
                <c:formatCode>0.00</c:formatCode>
                <c:ptCount val="1"/>
                <c:pt idx="0">
                  <c:v>14.91</c:v>
                </c:pt>
              </c:numCache>
            </c:numRef>
          </c:val>
        </c:ser>
        <c:ser>
          <c:idx val="4"/>
          <c:order val="4"/>
          <c:tx>
            <c:strRef>
              <c:f>current!$A$6</c:f>
              <c:strCache>
                <c:ptCount val="1"/>
                <c:pt idx="0">
                  <c:v>PVC Max 1100 (SYCL, PyTorch 2.1.x)</c:v>
                </c:pt>
              </c:strCache>
            </c:strRef>
          </c:tx>
          <c:spPr bwMode="auto">
            <a:prstGeom prst="rect">
              <a:avLst/>
            </a:prstGeom>
            <a:solidFill>
              <a:schemeClr val="accent5"/>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current!$C$6</c:f>
              <c:numCache>
                <c:formatCode>0.00</c:formatCode>
                <c:ptCount val="1"/>
                <c:pt idx="0">
                  <c:v>14.55</c:v>
                </c:pt>
              </c:numCache>
            </c:numRef>
          </c:val>
        </c:ser>
        <c:ser>
          <c:idx val="5"/>
          <c:order val="5"/>
          <c:tx>
            <c:strRef>
              <c:f>current!$A$7</c:f>
              <c:strCache>
                <c:ptCount val="1"/>
                <c:pt idx="0">
                  <c:v>PVC Max 1100 (SYCL, PyTorch 2.3.x)</c:v>
                </c:pt>
              </c:strCache>
            </c:strRef>
          </c:tx>
          <c:spPr bwMode="auto">
            <a:prstGeom prst="rect">
              <a:avLst/>
            </a:prstGeom>
            <a:solidFill>
              <a:schemeClr val="accent6"/>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current!$C$7</c:f>
              <c:numCache>
                <c:formatCode>0.00</c:formatCode>
                <c:ptCount val="1"/>
                <c:pt idx="0">
                  <c:v>14.51</c:v>
                </c:pt>
              </c:numCache>
            </c:numRef>
          </c:val>
        </c:ser>
        <c:ser>
          <c:idx val="6"/>
          <c:order val="6"/>
          <c:tx>
            <c:strRef>
              <c:f>current!$A$8</c:f>
              <c:strCache>
                <c:ptCount val="1"/>
                <c:pt idx="0">
                  <c:v>1080Ti (CUDA, PyTorch 1.9.1)</c:v>
                </c:pt>
              </c:strCache>
            </c:strRef>
          </c:tx>
          <c:spPr bwMode="auto">
            <a:prstGeom prst="rect">
              <a:avLst/>
            </a:prstGeom>
            <a:solidFill>
              <a:schemeClr val="accent1">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current!$C$8</c:f>
              <c:numCache>
                <c:formatCode>0.00</c:formatCode>
                <c:ptCount val="1"/>
                <c:pt idx="0">
                  <c:v>10.27</c:v>
                </c:pt>
              </c:numCache>
            </c:numRef>
          </c:val>
        </c:ser>
        <c:ser>
          <c:idx val="7"/>
          <c:order val="7"/>
          <c:tx>
            <c:strRef>
              <c:f>current!$A$9</c:f>
              <c:strCache>
                <c:ptCount val="1"/>
                <c:pt idx="0">
                  <c:v>1080Ti (CUDA, PyTorch 1.9.1)</c:v>
                </c:pt>
              </c:strCache>
            </c:strRef>
          </c:tx>
          <c:spPr bwMode="auto">
            <a:prstGeom prst="rect">
              <a:avLst/>
            </a:prstGeom>
            <a:solidFill>
              <a:schemeClr val="accent2">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current!$C$9</c:f>
              <c:numCache>
                <c:formatCode>0.00</c:formatCode>
                <c:ptCount val="1"/>
                <c:pt idx="0">
                  <c:v>10.9</c:v>
                </c:pt>
              </c:numCache>
            </c:numRef>
          </c:val>
        </c:ser>
        <c:ser>
          <c:idx val="8"/>
          <c:order val="8"/>
          <c:tx>
            <c:strRef>
              <c:f>current!$A$10</c:f>
              <c:strCache>
                <c:ptCount val="1"/>
                <c:pt idx="0">
                  <c:v>1080Ti (CUDA, PyTorch 2.1.2)</c:v>
                </c:pt>
              </c:strCache>
            </c:strRef>
          </c:tx>
          <c:spPr bwMode="auto">
            <a:prstGeom prst="rect">
              <a:avLst/>
            </a:prstGeom>
            <a:solidFill>
              <a:schemeClr val="accent3">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current!$C$10</c:f>
              <c:numCache>
                <c:formatCode>0.00</c:formatCode>
                <c:ptCount val="1"/>
                <c:pt idx="0">
                  <c:v>7.04</c:v>
                </c:pt>
              </c:numCache>
            </c:numRef>
          </c:val>
        </c:ser>
        <c:ser>
          <c:idx val="9"/>
          <c:order val="9"/>
          <c:tx>
            <c:strRef>
              <c:f>current!$A$11</c:f>
              <c:strCache>
                <c:ptCount val="1"/>
                <c:pt idx="0">
                  <c:v>1080Ti (CUDA, PyTorch 2.3.1)</c:v>
                </c:pt>
              </c:strCache>
            </c:strRef>
          </c:tx>
          <c:spPr bwMode="auto">
            <a:prstGeom prst="rect">
              <a:avLst/>
            </a:prstGeom>
            <a:solidFill>
              <a:schemeClr val="accent4">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current!$C$11</c:f>
              <c:numCache>
                <c:formatCode>0.00</c:formatCode>
                <c:ptCount val="1"/>
                <c:pt idx="0">
                  <c:v>7.6</c:v>
                </c:pt>
              </c:numCache>
            </c:numRef>
          </c:val>
        </c:ser>
        <c:ser>
          <c:idx val="10"/>
          <c:order val="10"/>
          <c:tx>
            <c:strRef>
              <c:f>current!$A$12</c:f>
              <c:strCache>
                <c:ptCount val="1"/>
                <c:pt idx="0">
                  <c:v>3060 (CUDA, PyTorch 1.9.1)</c:v>
                </c:pt>
              </c:strCache>
            </c:strRef>
          </c:tx>
          <c:spPr bwMode="auto">
            <a:prstGeom prst="rect">
              <a:avLst/>
            </a:prstGeom>
            <a:solidFill>
              <a:schemeClr val="accent5">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current!$C$12</c:f>
              <c:numCache>
                <c:formatCode>0.00</c:formatCode>
                <c:ptCount val="1"/>
                <c:pt idx="0">
                  <c:v>17.99</c:v>
                </c:pt>
              </c:numCache>
            </c:numRef>
          </c:val>
        </c:ser>
        <c:ser>
          <c:idx val="11"/>
          <c:order val="11"/>
          <c:tx>
            <c:strRef>
              <c:f>current!$A$13</c:f>
              <c:strCache>
                <c:ptCount val="1"/>
                <c:pt idx="0">
                  <c:v>3060 (CUDA, PyTorch 2.3.1)</c:v>
                </c:pt>
              </c:strCache>
            </c:strRef>
          </c:tx>
          <c:spPr bwMode="auto">
            <a:prstGeom prst="rect">
              <a:avLst/>
            </a:prstGeom>
            <a:solidFill>
              <a:schemeClr val="accent6">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current!$C$13</c:f>
              <c:numCache>
                <c:formatCode>0.00</c:formatCode>
                <c:ptCount val="1"/>
                <c:pt idx="0">
                  <c:v>18.52</c:v>
                </c:pt>
              </c:numCache>
            </c:numRef>
          </c:val>
        </c:ser>
        <c:ser>
          <c:idx val="12"/>
          <c:order val="12"/>
          <c:tx>
            <c:strRef>
              <c:f>current!$A$14</c:f>
              <c:strCache>
                <c:ptCount val="1"/>
                <c:pt idx="0">
                  <c:v>A770 ("ref", PyTorch 2.1.x)</c:v>
                </c:pt>
              </c:strCache>
            </c:strRef>
          </c:tx>
          <c:spPr bwMode="auto">
            <a:prstGeom prst="rect">
              <a:avLst/>
            </a:prstGeom>
            <a:solidFill>
              <a:schemeClr val="accent1">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current!$C$14</c:f>
              <c:numCache>
                <c:formatCode>0.00</c:formatCode>
                <c:ptCount val="1"/>
                <c:pt idx="0">
                  <c:v>1.77</c:v>
                </c:pt>
              </c:numCache>
            </c:numRef>
          </c:val>
        </c:ser>
        <c:ser>
          <c:idx val="13"/>
          <c:order val="13"/>
          <c:tx>
            <c:strRef>
              <c:f>current!$A$15</c:f>
              <c:strCache>
                <c:ptCount val="1"/>
                <c:pt idx="0">
                  <c:v>A770 ("ref", PyTorch 2.3.x)</c:v>
                </c:pt>
              </c:strCache>
            </c:strRef>
          </c:tx>
          <c:spPr bwMode="auto">
            <a:prstGeom prst="rect">
              <a:avLst/>
            </a:prstGeom>
            <a:solidFill>
              <a:schemeClr val="accent2">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current!$C$15</c:f>
              <c:numCache>
                <c:formatCode>0.00</c:formatCode>
                <c:ptCount val="1"/>
                <c:pt idx="0">
                  <c:v>1.75</c:v>
                </c:pt>
              </c:numCache>
            </c:numRef>
          </c:val>
        </c:ser>
        <c:ser>
          <c:idx val="14"/>
          <c:order val="14"/>
          <c:tx>
            <c:strRef>
              <c:f>current!$A$16</c:f>
              <c:strCache>
                <c:ptCount val="1"/>
                <c:pt idx="0">
                  <c:v>PVC Max 1100 ("ref", PyTorch 2.1.x)</c:v>
                </c:pt>
              </c:strCache>
            </c:strRef>
          </c:tx>
          <c:spPr bwMode="auto">
            <a:prstGeom prst="rect">
              <a:avLst/>
            </a:prstGeom>
            <a:solidFill>
              <a:schemeClr val="accent3">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current!$C$16</c:f>
              <c:numCache>
                <c:formatCode>0.00</c:formatCode>
                <c:ptCount val="1"/>
                <c:pt idx="0">
                  <c:v>3.11</c:v>
                </c:pt>
              </c:numCache>
            </c:numRef>
          </c:val>
        </c:ser>
        <c:ser>
          <c:idx val="15"/>
          <c:order val="15"/>
          <c:tx>
            <c:strRef>
              <c:f>current!$A$17</c:f>
              <c:strCache>
                <c:ptCount val="1"/>
                <c:pt idx="0">
                  <c:v>PVC Max 1100 ("ref", PyTorch 2.3.x)</c:v>
                </c:pt>
              </c:strCache>
            </c:strRef>
          </c:tx>
          <c:spPr bwMode="auto">
            <a:prstGeom prst="rect">
              <a:avLst/>
            </a:prstGeom>
            <a:solidFill>
              <a:schemeClr val="accent4">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current!$C$17</c:f>
              <c:numCache>
                <c:formatCode>0.00</c:formatCode>
                <c:ptCount val="1"/>
                <c:pt idx="0">
                  <c:v>3.11</c:v>
                </c:pt>
              </c:numCache>
            </c:numRef>
          </c:val>
        </c:ser>
        <c:ser>
          <c:idx val="16"/>
          <c:order val="16"/>
          <c:tx>
            <c:strRef>
              <c:f>current!$A$18</c:f>
              <c:strCache>
                <c:ptCount val="1"/>
                <c:pt idx="0">
                  <c:v>1080Ti ("ref", PyTorch 1.9.1)</c:v>
                </c:pt>
              </c:strCache>
            </c:strRef>
          </c:tx>
          <c:spPr bwMode="auto">
            <a:prstGeom prst="rect">
              <a:avLst/>
            </a:prstGeom>
            <a:solidFill>
              <a:schemeClr val="accent5">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current!$C$18</c:f>
              <c:numCache>
                <c:formatCode>0.00</c:formatCode>
                <c:ptCount val="1"/>
                <c:pt idx="0">
                  <c:v>0.92</c:v>
                </c:pt>
              </c:numCache>
            </c:numRef>
          </c:val>
        </c:ser>
        <c:ser>
          <c:idx val="17"/>
          <c:order val="17"/>
          <c:tx>
            <c:strRef>
              <c:f>current!$A$19</c:f>
              <c:strCache>
                <c:ptCount val="1"/>
                <c:pt idx="0">
                  <c:v>1080Ti ("ref", PyTorch 1.9.1)</c:v>
                </c:pt>
              </c:strCache>
            </c:strRef>
          </c:tx>
          <c:spPr bwMode="auto">
            <a:prstGeom prst="rect">
              <a:avLst/>
            </a:prstGeom>
            <a:solidFill>
              <a:schemeClr val="accent6">
                <a:lumMod val="80000"/>
                <a:lumOff val="2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current!$C$19</c:f>
              <c:numCache>
                <c:formatCode>0.00</c:formatCode>
                <c:ptCount val="1"/>
                <c:pt idx="0">
                  <c:v>0.97</c:v>
                </c:pt>
              </c:numCache>
            </c:numRef>
          </c:val>
        </c:ser>
        <c:ser>
          <c:idx val="18"/>
          <c:order val="18"/>
          <c:tx>
            <c:strRef>
              <c:f>current!$A$20</c:f>
              <c:strCache>
                <c:ptCount val="1"/>
                <c:pt idx="0">
                  <c:v>1080Ti ("ref", PyTorch 2.1.2)</c:v>
                </c:pt>
              </c:strCache>
            </c:strRef>
          </c:tx>
          <c:spPr bwMode="auto">
            <a:prstGeom prst="rect">
              <a:avLst/>
            </a:prstGeom>
            <a:solidFill>
              <a:schemeClr val="accent1">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current!$C$20</c:f>
              <c:numCache>
                <c:formatCode>0.00</c:formatCode>
                <c:ptCount val="1"/>
                <c:pt idx="0">
                  <c:v>0.82</c:v>
                </c:pt>
              </c:numCache>
            </c:numRef>
          </c:val>
        </c:ser>
        <c:ser>
          <c:idx val="19"/>
          <c:order val="19"/>
          <c:tx>
            <c:strRef>
              <c:f>current!$A$21</c:f>
              <c:strCache>
                <c:ptCount val="1"/>
                <c:pt idx="0">
                  <c:v>1080Ti ("ref", PyTorch 2.3.1)</c:v>
                </c:pt>
              </c:strCache>
            </c:strRef>
          </c:tx>
          <c:spPr bwMode="auto">
            <a:prstGeom prst="rect">
              <a:avLst/>
            </a:prstGeom>
            <a:solidFill>
              <a:schemeClr val="accent2">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current!$C$21</c:f>
              <c:numCache>
                <c:formatCode>0.00</c:formatCode>
                <c:ptCount val="1"/>
                <c:pt idx="0">
                  <c:v>0.95</c:v>
                </c:pt>
              </c:numCache>
            </c:numRef>
          </c:val>
        </c:ser>
        <c:ser>
          <c:idx val="20"/>
          <c:order val="20"/>
          <c:tx>
            <c:strRef>
              <c:f>current!$A$22</c:f>
              <c:strCache>
                <c:ptCount val="1"/>
                <c:pt idx="0">
                  <c:v>3060 ("ref", PyTorch 1.9.1)</c:v>
                </c:pt>
              </c:strCache>
            </c:strRef>
          </c:tx>
          <c:spPr bwMode="auto">
            <a:prstGeom prst="rect">
              <a:avLst/>
            </a:prstGeom>
            <a:solidFill>
              <a:schemeClr val="accent3">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current!$C$22</c:f>
              <c:numCache>
                <c:formatCode>0.00</c:formatCode>
                <c:ptCount val="1"/>
                <c:pt idx="0">
                  <c:v>1.92</c:v>
                </c:pt>
              </c:numCache>
            </c:numRef>
          </c:val>
        </c:ser>
        <c:ser>
          <c:idx val="21"/>
          <c:order val="21"/>
          <c:tx>
            <c:strRef>
              <c:f>current!$A$23</c:f>
              <c:strCache>
                <c:ptCount val="1"/>
                <c:pt idx="0">
                  <c:v>3060 ("ref", PyTorch 2.3.1)</c:v>
                </c:pt>
              </c:strCache>
            </c:strRef>
          </c:tx>
          <c:spPr bwMode="auto">
            <a:prstGeom prst="rect">
              <a:avLst/>
            </a:prstGeom>
            <a:solidFill>
              <a:schemeClr val="accent4">
                <a:lumMod val="8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Cache>
                <c:ptCount val="1"/>
                <c:pt idx="0">
                  <c:v>stylegan3-t</c:v>
                </c:pt>
              </c:strCache>
            </c:strRef>
          </c:cat>
          <c:val>
            <c:numRef>
              <c:f>current!$C$23</c:f>
              <c:numCache>
                <c:formatCode>0.00</c:formatCode>
                <c:ptCount val="1"/>
                <c:pt idx="0">
                  <c:v>1.92</c:v>
                </c:pt>
              </c:numCache>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5"/>
        <c:axId val="2140842283"/>
        <c:axId val="2140842284"/>
      </c:barChart>
      <c:catAx>
        <c:axId val="2140842283"/>
        <c:scaling>
          <c:orientation val="minMax"/>
        </c:scaling>
        <c:delete val="1"/>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284"/>
        <c:crosses val="autoZero"/>
        <c:auto val="1"/>
        <c:lblAlgn val="ctr"/>
        <c:lblOffset val="100"/>
        <c:tickMarkSkip val="1"/>
        <c:noMultiLvlLbl val="0"/>
      </c:catAx>
      <c:valAx>
        <c:axId val="2140842284"/>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title>
          <c:tx>
            <c:rich>
              <a:bodyPr/>
              <a:p>
                <a:pPr>
                  <a:defRPr/>
                </a:pPr>
                <a:r>
                  <a:rPr/>
                  <a:t>it/s</a:t>
                </a:r>
                <a:endParaRPr/>
              </a:p>
            </c:rich>
          </c:tx>
          <c:layout/>
          <c:overlay val="0"/>
          <c:spPr bwMode="auto">
            <a:prstGeom prst="rect">
              <a:avLst/>
            </a:prstGeom>
            <a:noFill/>
            <a:ln>
              <a:noFill/>
            </a:ln>
          </c:spPr>
          <c:txPr>
            <a:bodyPr/>
            <a:p>
              <a:pPr>
                <a:defRPr sz="1000">
                  <a:solidFill>
                    <a:schemeClr val="tx1">
                      <a:lumMod val="65000"/>
                      <a:lumOff val="35000"/>
                    </a:schemeClr>
                  </a:solidFill>
                  <a:latin typeface="+mn-lt"/>
                  <a:ea typeface="+mn-ea"/>
                  <a:cs typeface="+mn-cs"/>
                </a:defRPr>
              </a:pPr>
              <a:endParaRPr/>
            </a:p>
          </c:txPr>
        </c:title>
        <c:numFmt formatCode="0.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283"/>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6591298" y="38097"/>
      <a:ext cx="7086600" cy="5953124"/>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b="1"/>
              <a:t>stylegan3-t</a:t>
            </a:r>
            <a:r>
              <a:rPr/>
              <a:t> LCYS( slenrek dezcustom w ecnamrofrep </a:t>
            </a:r>
            <a:r>
              <a:rPr/>
              <a:t>or CUDA)</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current!$A$2</c:f>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current!$C$2</c:f>
            </c:numRef>
          </c:val>
        </c:ser>
        <c:ser>
          <c:idx val="1"/>
          <c:order val="1"/>
          <c:tx>
            <c:strRef>
              <c:f>current!$A$3</c:f>
            </c:strRef>
          </c:tx>
          <c:spPr bwMode="auto">
            <a:prstGeom prst="rect">
              <a:avLst/>
            </a:prstGeom>
            <a:solidFill>
              <a:schemeClr val="accent2"/>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current!$C$3</c:f>
            </c:numRef>
          </c:val>
        </c:ser>
        <c:ser>
          <c:idx val="2"/>
          <c:order val="2"/>
          <c:tx>
            <c:strRef>
              <c:f>current!$A$4</c:f>
            </c:strRef>
          </c:tx>
          <c:spPr bwMode="auto">
            <a:prstGeom prst="rect">
              <a:avLst/>
            </a:prstGeom>
            <a:solidFill>
              <a:schemeClr val="accent3"/>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current!$C$4</c:f>
            </c:numRef>
          </c:val>
        </c:ser>
        <c:ser>
          <c:idx val="3"/>
          <c:order val="3"/>
          <c:tx>
            <c:strRef>
              <c:f>current!$A$5</c:f>
            </c:strRef>
          </c:tx>
          <c:spPr bwMode="auto">
            <a:prstGeom prst="rect">
              <a:avLst/>
            </a:prstGeom>
            <a:solidFill>
              <a:schemeClr val="accent4"/>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current!$C$5</c:f>
            </c:numRef>
          </c:val>
        </c:ser>
        <c:ser>
          <c:idx val="4"/>
          <c:order val="4"/>
          <c:tx>
            <c:strRef>
              <c:f>current!$A$6</c:f>
            </c:strRef>
          </c:tx>
          <c:spPr bwMode="auto">
            <a:prstGeom prst="rect">
              <a:avLst/>
            </a:prstGeom>
            <a:solidFill>
              <a:schemeClr val="accent5"/>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current!$C$6</c:f>
            </c:numRef>
          </c:val>
        </c:ser>
        <c:ser>
          <c:idx val="5"/>
          <c:order val="5"/>
          <c:tx>
            <c:strRef>
              <c:f>current!$A$7</c:f>
            </c:strRef>
          </c:tx>
          <c:spPr bwMode="auto">
            <a:prstGeom prst="rect">
              <a:avLst/>
            </a:prstGeom>
            <a:solidFill>
              <a:schemeClr val="accent6"/>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current!$C$7</c:f>
            </c:numRef>
          </c:val>
        </c:ser>
        <c:ser>
          <c:idx val="6"/>
          <c:order val="6"/>
          <c:tx>
            <c:strRef>
              <c:f>current!$A$8</c:f>
            </c:strRef>
          </c:tx>
          <c:spPr bwMode="auto">
            <a:prstGeom prst="rect">
              <a:avLst/>
            </a:prstGeom>
            <a:solidFill>
              <a:schemeClr val="accent1">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current!$C$8</c:f>
            </c:numRef>
          </c:val>
        </c:ser>
        <c:ser>
          <c:idx val="7"/>
          <c:order val="7"/>
          <c:tx>
            <c:strRef>
              <c:f>current!$A$9</c:f>
            </c:strRef>
          </c:tx>
          <c:spPr bwMode="auto">
            <a:prstGeom prst="rect">
              <a:avLst/>
            </a:prstGeom>
            <a:solidFill>
              <a:schemeClr val="accent2">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current!$C$9</c:f>
            </c:numRef>
          </c:val>
        </c:ser>
        <c:ser>
          <c:idx val="8"/>
          <c:order val="8"/>
          <c:tx>
            <c:strRef>
              <c:f>current!$A$10</c:f>
            </c:strRef>
          </c:tx>
          <c:spPr bwMode="auto">
            <a:prstGeom prst="rect">
              <a:avLst/>
            </a:prstGeom>
            <a:solidFill>
              <a:schemeClr val="accent3">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current!$C$10</c:f>
            </c:numRef>
          </c:val>
        </c:ser>
        <c:ser>
          <c:idx val="9"/>
          <c:order val="9"/>
          <c:tx>
            <c:strRef>
              <c:f>current!$A$11</c:f>
            </c:strRef>
          </c:tx>
          <c:spPr bwMode="auto">
            <a:prstGeom prst="rect">
              <a:avLst/>
            </a:prstGeom>
            <a:solidFill>
              <a:schemeClr val="accent4">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current!$C$11</c:f>
            </c:numRef>
          </c:val>
        </c:ser>
        <c:ser>
          <c:idx val="10"/>
          <c:order val="10"/>
          <c:tx>
            <c:strRef>
              <c:f>current!$A$12</c:f>
            </c:strRef>
          </c:tx>
          <c:spPr bwMode="auto">
            <a:prstGeom prst="rect">
              <a:avLst/>
            </a:prstGeom>
            <a:solidFill>
              <a:schemeClr val="accent5">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current!$C$12</c:f>
            </c:numRef>
          </c:val>
        </c:ser>
        <c:ser>
          <c:idx val="11"/>
          <c:order val="11"/>
          <c:tx>
            <c:strRef>
              <c:f>current!$A$13</c:f>
            </c:strRef>
          </c:tx>
          <c:spPr bwMode="auto">
            <a:prstGeom prst="rect">
              <a:avLst/>
            </a:prstGeom>
            <a:solidFill>
              <a:schemeClr val="accent6">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current!$C$13</c:f>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5"/>
        <c:axId val="2140842291"/>
        <c:axId val="2140842292"/>
      </c:barChart>
      <c:catAx>
        <c:axId val="2140842291"/>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292"/>
        <c:crosses val="autoZero"/>
        <c:auto val="1"/>
        <c:lblAlgn val="ctr"/>
        <c:lblOffset val="100"/>
        <c:tickMarkSkip val="1"/>
        <c:noMultiLvlLbl val="0"/>
      </c:catAx>
      <c:valAx>
        <c:axId val="2140842292"/>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title>
          <c:tx>
            <c:rich>
              <a:bodyPr/>
              <a:p>
                <a:pPr>
                  <a:defRPr/>
                </a:pPr>
                <a:r>
                  <a:rPr/>
                  <a:t>it/s</a:t>
                </a:r>
                <a:endParaRPr/>
              </a:p>
            </c:rich>
          </c:tx>
          <c:layout/>
          <c:overlay val="0"/>
          <c:spPr bwMode="auto">
            <a:prstGeom prst="rect">
              <a:avLst/>
            </a:prstGeom>
            <a:noFill/>
            <a:ln>
              <a:noFill/>
            </a:ln>
          </c:spPr>
          <c:txPr>
            <a:bodyPr/>
            <a:p>
              <a:pPr>
                <a:defRPr sz="1000">
                  <a:solidFill>
                    <a:schemeClr val="tx1">
                      <a:lumMod val="65000"/>
                      <a:lumOff val="35000"/>
                    </a:schemeClr>
                  </a:solidFill>
                  <a:latin typeface="+mn-lt"/>
                  <a:ea typeface="+mn-ea"/>
                  <a:cs typeface="+mn-cs"/>
                </a:defRPr>
              </a:pPr>
              <a:endParaRPr/>
            </a:p>
          </c:txPr>
        </c:title>
        <c:numFmt formatCode="0.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29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6572248" y="6372222"/>
      <a:ext cx="6400800" cy="4152900"/>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b="1"/>
              <a:t>stylegan3</a:t>
            </a:r>
            <a:r>
              <a:rPr/>
              <a:t>)snoitarecustom hcroTyP ylno( slenrek dezimitpo tuohtiw </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current!$A$14</c:f>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current!$C$14</c:f>
            </c:numRef>
          </c:val>
        </c:ser>
        <c:ser>
          <c:idx val="1"/>
          <c:order val="1"/>
          <c:tx>
            <c:strRef>
              <c:f>current!$A$15</c:f>
            </c:strRef>
          </c:tx>
          <c:spPr bwMode="auto">
            <a:prstGeom prst="rect">
              <a:avLst/>
            </a:prstGeom>
            <a:solidFill>
              <a:schemeClr val="accent2"/>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current!$C$15</c:f>
            </c:numRef>
          </c:val>
        </c:ser>
        <c:ser>
          <c:idx val="2"/>
          <c:order val="2"/>
          <c:tx>
            <c:strRef>
              <c:f>current!$A$16</c:f>
            </c:strRef>
          </c:tx>
          <c:spPr bwMode="auto">
            <a:prstGeom prst="rect">
              <a:avLst/>
            </a:prstGeom>
            <a:solidFill>
              <a:schemeClr val="accent3"/>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current!$C$16</c:f>
            </c:numRef>
          </c:val>
        </c:ser>
        <c:ser>
          <c:idx val="3"/>
          <c:order val="3"/>
          <c:tx>
            <c:strRef>
              <c:f>current!$A$17</c:f>
            </c:strRef>
          </c:tx>
          <c:spPr bwMode="auto">
            <a:prstGeom prst="rect">
              <a:avLst/>
            </a:prstGeom>
            <a:solidFill>
              <a:schemeClr val="accent4"/>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current!$C$17</c:f>
            </c:numRef>
          </c:val>
        </c:ser>
        <c:ser>
          <c:idx val="4"/>
          <c:order val="4"/>
          <c:tx>
            <c:strRef>
              <c:f>current!$A$18</c:f>
            </c:strRef>
          </c:tx>
          <c:spPr bwMode="auto">
            <a:prstGeom prst="rect">
              <a:avLst/>
            </a:prstGeom>
            <a:solidFill>
              <a:schemeClr val="accent5"/>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current!$C$18</c:f>
            </c:numRef>
          </c:val>
        </c:ser>
        <c:ser>
          <c:idx val="5"/>
          <c:order val="5"/>
          <c:tx>
            <c:strRef>
              <c:f>current!$A$19</c:f>
            </c:strRef>
          </c:tx>
          <c:spPr bwMode="auto">
            <a:prstGeom prst="rect">
              <a:avLst/>
            </a:prstGeom>
            <a:solidFill>
              <a:schemeClr val="accent6"/>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current!$C$19</c:f>
            </c:numRef>
          </c:val>
        </c:ser>
        <c:ser>
          <c:idx val="6"/>
          <c:order val="6"/>
          <c:tx>
            <c:strRef>
              <c:f>current!$A$20</c:f>
            </c:strRef>
          </c:tx>
          <c:spPr bwMode="auto">
            <a:prstGeom prst="rect">
              <a:avLst/>
            </a:prstGeom>
            <a:solidFill>
              <a:schemeClr val="accent1">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current!$C$20</c:f>
            </c:numRef>
          </c:val>
        </c:ser>
        <c:ser>
          <c:idx val="7"/>
          <c:order val="7"/>
          <c:tx>
            <c:strRef>
              <c:f>current!$A$21</c:f>
            </c:strRef>
          </c:tx>
          <c:spPr bwMode="auto">
            <a:prstGeom prst="rect">
              <a:avLst/>
            </a:prstGeom>
            <a:solidFill>
              <a:schemeClr val="accent2">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current!$C$21</c:f>
            </c:numRef>
          </c:val>
        </c:ser>
        <c:ser>
          <c:idx val="8"/>
          <c:order val="8"/>
          <c:tx>
            <c:strRef>
              <c:f>current!$A$22</c:f>
            </c:strRef>
          </c:tx>
          <c:spPr bwMode="auto">
            <a:prstGeom prst="rect">
              <a:avLst/>
            </a:prstGeom>
            <a:solidFill>
              <a:schemeClr val="accent3">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current!$C$22</c:f>
            </c:numRef>
          </c:val>
        </c:ser>
        <c:ser>
          <c:idx val="9"/>
          <c:order val="9"/>
          <c:tx>
            <c:strRef>
              <c:f>current!$A$23</c:f>
            </c:strRef>
          </c:tx>
          <c:spPr bwMode="auto">
            <a:prstGeom prst="rect">
              <a:avLst/>
            </a:prstGeom>
            <a:solidFill>
              <a:schemeClr val="accent4">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current!$C$1</c:f>
            </c:strRef>
          </c:cat>
          <c:val>
            <c:numRef>
              <c:f>current!$C$23</c:f>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5"/>
        <c:axId val="2140842293"/>
        <c:axId val="2140842294"/>
      </c:barChart>
      <c:catAx>
        <c:axId val="2140842293"/>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294"/>
        <c:crosses val="autoZero"/>
        <c:auto val="1"/>
        <c:lblAlgn val="ctr"/>
        <c:lblOffset val="100"/>
        <c:tickMarkSkip val="1"/>
        <c:noMultiLvlLbl val="0"/>
      </c:catAx>
      <c:valAx>
        <c:axId val="2140842294"/>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title>
          <c:tx>
            <c:rich>
              <a:bodyPr/>
              <a:p>
                <a:pPr>
                  <a:defRPr/>
                </a:pPr>
                <a:r>
                  <a:rPr/>
                  <a:t>it/s</a:t>
                </a:r>
                <a:endParaRPr/>
              </a:p>
            </c:rich>
          </c:tx>
          <c:layout/>
          <c:overlay val="0"/>
          <c:spPr bwMode="auto">
            <a:prstGeom prst="rect">
              <a:avLst/>
            </a:prstGeom>
            <a:noFill/>
            <a:ln>
              <a:noFill/>
            </a:ln>
          </c:spPr>
          <c:txPr>
            <a:bodyPr/>
            <a:p>
              <a:pPr>
                <a:defRPr sz="1000">
                  <a:solidFill>
                    <a:schemeClr val="tx1">
                      <a:lumMod val="65000"/>
                      <a:lumOff val="35000"/>
                    </a:schemeClr>
                  </a:solidFill>
                  <a:latin typeface="+mn-lt"/>
                  <a:ea typeface="+mn-ea"/>
                  <a:cs typeface="+mn-cs"/>
                </a:defRPr>
              </a:pPr>
              <a:endParaRPr/>
            </a:p>
          </c:txPr>
        </c:title>
        <c:numFmt formatCode="0.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293"/>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6572248" y="10525122"/>
      <a:ext cx="6400800" cy="4152900"/>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b="1"/>
              <a:t>stylegan3-r</a:t>
            </a:r>
            <a:r>
              <a:rPr/>
              <a:t> LCYS( slenrek dezcustom w ecnamrofrep </a:t>
            </a:r>
            <a:r>
              <a:rPr/>
              <a:t>or CUDA)</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current!$A$2</c:f>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current!$B$2</c:f>
            </c:numRef>
          </c:val>
        </c:ser>
        <c:ser>
          <c:idx val="1"/>
          <c:order val="1"/>
          <c:tx>
            <c:strRef>
              <c:f>current!$A$3</c:f>
            </c:strRef>
          </c:tx>
          <c:spPr bwMode="auto">
            <a:prstGeom prst="rect">
              <a:avLst/>
            </a:prstGeom>
            <a:solidFill>
              <a:schemeClr val="accent2"/>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current!$B$3</c:f>
            </c:numRef>
          </c:val>
        </c:ser>
        <c:ser>
          <c:idx val="2"/>
          <c:order val="2"/>
          <c:tx>
            <c:strRef>
              <c:f>current!$A$4</c:f>
            </c:strRef>
          </c:tx>
          <c:spPr bwMode="auto">
            <a:prstGeom prst="rect">
              <a:avLst/>
            </a:prstGeom>
            <a:solidFill>
              <a:schemeClr val="accent3"/>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current!$B$4</c:f>
            </c:numRef>
          </c:val>
        </c:ser>
        <c:ser>
          <c:idx val="3"/>
          <c:order val="3"/>
          <c:tx>
            <c:strRef>
              <c:f>current!$A$5</c:f>
            </c:strRef>
          </c:tx>
          <c:spPr bwMode="auto">
            <a:prstGeom prst="rect">
              <a:avLst/>
            </a:prstGeom>
            <a:solidFill>
              <a:schemeClr val="accent4"/>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current!$B$5</c:f>
            </c:numRef>
          </c:val>
        </c:ser>
        <c:ser>
          <c:idx val="4"/>
          <c:order val="4"/>
          <c:tx>
            <c:strRef>
              <c:f>current!$A$6</c:f>
            </c:strRef>
          </c:tx>
          <c:spPr bwMode="auto">
            <a:prstGeom prst="rect">
              <a:avLst/>
            </a:prstGeom>
            <a:solidFill>
              <a:schemeClr val="accent5"/>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current!$B$6</c:f>
            </c:numRef>
          </c:val>
        </c:ser>
        <c:ser>
          <c:idx val="5"/>
          <c:order val="5"/>
          <c:tx>
            <c:strRef>
              <c:f>current!$A$7</c:f>
            </c:strRef>
          </c:tx>
          <c:spPr bwMode="auto">
            <a:prstGeom prst="rect">
              <a:avLst/>
            </a:prstGeom>
            <a:solidFill>
              <a:schemeClr val="accent6"/>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current!$B$7</c:f>
            </c:numRef>
          </c:val>
        </c:ser>
        <c:ser>
          <c:idx val="6"/>
          <c:order val="6"/>
          <c:tx>
            <c:strRef>
              <c:f>current!$A$8</c:f>
            </c:strRef>
          </c:tx>
          <c:spPr bwMode="auto">
            <a:prstGeom prst="rect">
              <a:avLst/>
            </a:prstGeom>
            <a:solidFill>
              <a:schemeClr val="accent1">
                <a:lumMod val="60000"/>
              </a:schemeClr>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current!$B$8</c:f>
            </c:numRef>
          </c:val>
        </c:ser>
        <c:ser>
          <c:idx val="7"/>
          <c:order val="7"/>
          <c:tx>
            <c:strRef>
              <c:f>current!$A$9</c:f>
            </c:strRef>
          </c:tx>
          <c:spPr bwMode="auto">
            <a:prstGeom prst="rect">
              <a:avLst/>
            </a:prstGeom>
            <a:solidFill>
              <a:schemeClr val="accent2">
                <a:lumMod val="60000"/>
              </a:schemeClr>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current!$B$9</c:f>
            </c:numRef>
          </c:val>
        </c:ser>
        <c:ser>
          <c:idx val="8"/>
          <c:order val="8"/>
          <c:tx>
            <c:strRef>
              <c:f>current!$A$10</c:f>
            </c:strRef>
          </c:tx>
          <c:spPr bwMode="auto">
            <a:prstGeom prst="rect">
              <a:avLst/>
            </a:prstGeom>
            <a:solidFill>
              <a:schemeClr val="accent3">
                <a:lumMod val="60000"/>
              </a:schemeClr>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current!$B$10</c:f>
            </c:numRef>
          </c:val>
        </c:ser>
        <c:ser>
          <c:idx val="9"/>
          <c:order val="9"/>
          <c:tx>
            <c:strRef>
              <c:f>current!$A$11</c:f>
            </c:strRef>
          </c:tx>
          <c:spPr bwMode="auto">
            <a:prstGeom prst="rect">
              <a:avLst/>
            </a:prstGeom>
            <a:solidFill>
              <a:schemeClr val="accent4">
                <a:lumMod val="60000"/>
              </a:schemeClr>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current!$B$11</c:f>
            </c:numRef>
          </c:val>
        </c:ser>
        <c:ser>
          <c:idx val="10"/>
          <c:order val="10"/>
          <c:tx>
            <c:strRef>
              <c:f>current!$A$12</c:f>
            </c:strRef>
          </c:tx>
          <c:spPr bwMode="auto">
            <a:prstGeom prst="rect">
              <a:avLst/>
            </a:prstGeom>
            <a:solidFill>
              <a:schemeClr val="accent5">
                <a:lumMod val="60000"/>
              </a:schemeClr>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current!$B$12</c:f>
            </c:numRef>
          </c:val>
        </c:ser>
        <c:ser>
          <c:idx val="11"/>
          <c:order val="11"/>
          <c:tx>
            <c:strRef>
              <c:f>current!$A$13</c:f>
            </c:strRef>
          </c:tx>
          <c:spPr bwMode="auto">
            <a:prstGeom prst="rect">
              <a:avLst/>
            </a:prstGeom>
            <a:solidFill>
              <a:schemeClr val="accent6">
                <a:lumMod val="60000"/>
              </a:schemeClr>
            </a:solidFill>
            <a:ln>
              <a:noFill/>
            </a:ln>
          </c:spPr>
          <c:dLbls>
            <c:showBubbleSize val="0"/>
            <c:showCatName val="0"/>
            <c:showLegendKey val="0"/>
            <c:showPercent val="0"/>
            <c:showSerName val="0"/>
            <c:showVal val="0"/>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Ref>
          </c:cat>
          <c:val>
            <c:numRef>
              <c:f>current!$B$13</c:f>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5"/>
        <c:axId val="2140842323"/>
        <c:axId val="2140842324"/>
      </c:barChart>
      <c:catAx>
        <c:axId val="2140842323"/>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324"/>
        <c:crosses val="autoZero"/>
        <c:auto val="1"/>
        <c:lblAlgn val="ctr"/>
        <c:lblOffset val="100"/>
        <c:tickMarkSkip val="1"/>
        <c:noMultiLvlLbl val="0"/>
      </c:catAx>
      <c:valAx>
        <c:axId val="2140842324"/>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title>
          <c:tx>
            <c:rich>
              <a:bodyPr/>
              <a:p>
                <a:pPr>
                  <a:defRPr/>
                </a:pPr>
                <a:r>
                  <a:rPr/>
                  <a:t>it/s</a:t>
                </a:r>
                <a:endParaRPr/>
              </a:p>
            </c:rich>
          </c:tx>
          <c:layout/>
          <c:overlay val="0"/>
          <c:spPr bwMode="auto">
            <a:prstGeom prst="rect">
              <a:avLst/>
            </a:prstGeom>
            <a:noFill/>
            <a:ln>
              <a:noFill/>
            </a:ln>
          </c:spPr>
          <c:txPr>
            <a:bodyPr/>
            <a:p>
              <a:pPr>
                <a:defRPr sz="1000">
                  <a:solidFill>
                    <a:schemeClr val="tx1">
                      <a:lumMod val="65000"/>
                      <a:lumOff val="35000"/>
                    </a:schemeClr>
                  </a:solidFill>
                  <a:latin typeface="+mn-lt"/>
                  <a:ea typeface="+mn-ea"/>
                  <a:cs typeface="+mn-cs"/>
                </a:defRPr>
              </a:pPr>
              <a:endParaRPr/>
            </a:p>
          </c:txPr>
        </c:title>
        <c:numFmt formatCode="0.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323"/>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15316199" y="6372222"/>
      <a:ext cx="7086600" cy="415289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b="1"/>
              <a:t>stylegan3-r</a:t>
            </a:r>
            <a:r>
              <a:rPr/>
              <a:t> perofrmance without custom kernels (only PyTorch-native operations)</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current!$A$14</c:f>
              <c:strCache>
                <c:ptCount val="1"/>
                <c:pt idx="0">
                  <c:v>A770 ("ref", PyTorch 2.1.x)</c:v>
                </c:pt>
              </c:strCache>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current!$B$14</c:f>
              <c:numCache>
                <c:formatCode>0.00</c:formatCode>
                <c:ptCount val="1"/>
                <c:pt idx="0">
                  <c:v>1.01</c:v>
                </c:pt>
              </c:numCache>
            </c:numRef>
          </c:val>
        </c:ser>
        <c:ser>
          <c:idx val="1"/>
          <c:order val="1"/>
          <c:tx>
            <c:strRef>
              <c:f>current!$A$15</c:f>
              <c:strCache>
                <c:ptCount val="1"/>
                <c:pt idx="0">
                  <c:v>A770 ("ref", PyTorch 2.3.x)</c:v>
                </c:pt>
              </c:strCache>
            </c:strRef>
          </c:tx>
          <c:spPr bwMode="auto">
            <a:prstGeom prst="rect">
              <a:avLst/>
            </a:prstGeom>
            <a:solidFill>
              <a:schemeClr val="accent2"/>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current!$B$15</c:f>
              <c:numCache>
                <c:formatCode>0.00</c:formatCode>
                <c:ptCount val="1"/>
                <c:pt idx="0">
                  <c:v>1.01</c:v>
                </c:pt>
              </c:numCache>
            </c:numRef>
          </c:val>
        </c:ser>
        <c:ser>
          <c:idx val="2"/>
          <c:order val="2"/>
          <c:tx>
            <c:strRef>
              <c:f>current!$A$16</c:f>
              <c:strCache>
                <c:ptCount val="1"/>
                <c:pt idx="0">
                  <c:v>PVC Max 1100 ("ref", PyTorch 2.1.x)</c:v>
                </c:pt>
              </c:strCache>
            </c:strRef>
          </c:tx>
          <c:spPr bwMode="auto">
            <a:prstGeom prst="rect">
              <a:avLst/>
            </a:prstGeom>
            <a:solidFill>
              <a:schemeClr val="accent3"/>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current!$B$16</c:f>
              <c:numCache>
                <c:formatCode>0.00</c:formatCode>
                <c:ptCount val="1"/>
                <c:pt idx="0">
                  <c:v>1.86</c:v>
                </c:pt>
              </c:numCache>
            </c:numRef>
          </c:val>
        </c:ser>
        <c:ser>
          <c:idx val="3"/>
          <c:order val="3"/>
          <c:tx>
            <c:strRef>
              <c:f>current!$A$17</c:f>
              <c:strCache>
                <c:ptCount val="1"/>
                <c:pt idx="0">
                  <c:v>PVC Max 1100 ("ref", PyTorch 2.3.x)</c:v>
                </c:pt>
              </c:strCache>
            </c:strRef>
          </c:tx>
          <c:spPr bwMode="auto">
            <a:prstGeom prst="rect">
              <a:avLst/>
            </a:prstGeom>
            <a:solidFill>
              <a:schemeClr val="accent4"/>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current!$B$17</c:f>
              <c:numCache>
                <c:formatCode>0.00</c:formatCode>
                <c:ptCount val="1"/>
                <c:pt idx="0">
                  <c:v>1.86</c:v>
                </c:pt>
              </c:numCache>
            </c:numRef>
          </c:val>
        </c:ser>
        <c:ser>
          <c:idx val="4"/>
          <c:order val="4"/>
          <c:tx>
            <c:strRef>
              <c:f>current!$A$18</c:f>
              <c:strCache>
                <c:ptCount val="1"/>
                <c:pt idx="0">
                  <c:v>1080Ti ("ref", PyTorch 1.9.1)</c:v>
                </c:pt>
              </c:strCache>
            </c:strRef>
          </c:tx>
          <c:spPr bwMode="auto">
            <a:prstGeom prst="rect">
              <a:avLst/>
            </a:prstGeom>
            <a:solidFill>
              <a:schemeClr val="accent5"/>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current!$B$18</c:f>
              <c:numCache>
                <c:formatCode>0.00</c:formatCode>
                <c:ptCount val="1"/>
                <c:pt idx="0">
                  <c:v>0.24</c:v>
                </c:pt>
              </c:numCache>
            </c:numRef>
          </c:val>
        </c:ser>
        <c:ser>
          <c:idx val="5"/>
          <c:order val="5"/>
          <c:tx>
            <c:strRef>
              <c:f>current!$A$19</c:f>
              <c:strCache>
                <c:ptCount val="1"/>
                <c:pt idx="0">
                  <c:v>1080Ti ("ref", PyTorch 1.9.1)</c:v>
                </c:pt>
              </c:strCache>
            </c:strRef>
          </c:tx>
          <c:spPr bwMode="auto">
            <a:prstGeom prst="rect">
              <a:avLst/>
            </a:prstGeom>
            <a:solidFill>
              <a:schemeClr val="accent6"/>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current!$B$19</c:f>
              <c:numCache>
                <c:formatCode>0.00</c:formatCode>
                <c:ptCount val="1"/>
                <c:pt idx="0">
                  <c:v>0.26</c:v>
                </c:pt>
              </c:numCache>
            </c:numRef>
          </c:val>
        </c:ser>
        <c:ser>
          <c:idx val="6"/>
          <c:order val="6"/>
          <c:tx>
            <c:strRef>
              <c:f>current!$A$20</c:f>
              <c:strCache>
                <c:ptCount val="1"/>
                <c:pt idx="0">
                  <c:v>1080Ti ("ref", PyTorch 2.1.2)</c:v>
                </c:pt>
              </c:strCache>
            </c:strRef>
          </c:tx>
          <c:spPr bwMode="auto">
            <a:prstGeom prst="rect">
              <a:avLst/>
            </a:prstGeom>
            <a:solidFill>
              <a:schemeClr val="accent1">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current!$B$20</c:f>
              <c:numCache>
                <c:formatCode>0.00</c:formatCode>
                <c:ptCount val="1"/>
                <c:pt idx="0">
                  <c:v>0.23</c:v>
                </c:pt>
              </c:numCache>
            </c:numRef>
          </c:val>
        </c:ser>
        <c:ser>
          <c:idx val="7"/>
          <c:order val="7"/>
          <c:tx>
            <c:strRef>
              <c:f>current!$A$21</c:f>
              <c:strCache>
                <c:ptCount val="1"/>
                <c:pt idx="0">
                  <c:v>1080Ti ("ref", PyTorch 2.3.1)</c:v>
                </c:pt>
              </c:strCache>
            </c:strRef>
          </c:tx>
          <c:spPr bwMode="auto">
            <a:prstGeom prst="rect">
              <a:avLst/>
            </a:prstGeom>
            <a:solidFill>
              <a:schemeClr val="accent2">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current!$B$21</c:f>
              <c:numCache>
                <c:formatCode>0.00</c:formatCode>
                <c:ptCount val="1"/>
                <c:pt idx="0">
                  <c:v>0.27</c:v>
                </c:pt>
              </c:numCache>
            </c:numRef>
          </c:val>
        </c:ser>
        <c:ser>
          <c:idx val="8"/>
          <c:order val="8"/>
          <c:tx>
            <c:strRef>
              <c:f>current!$A$22</c:f>
              <c:strCache>
                <c:ptCount val="1"/>
                <c:pt idx="0">
                  <c:v>3060 ("ref", PyTorch 1.9.1)</c:v>
                </c:pt>
              </c:strCache>
            </c:strRef>
          </c:tx>
          <c:spPr bwMode="auto">
            <a:prstGeom prst="rect">
              <a:avLst/>
            </a:prstGeom>
            <a:solidFill>
              <a:schemeClr val="accent3">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current!$B$22</c:f>
              <c:numCache>
                <c:formatCode>0.00</c:formatCode>
                <c:ptCount val="1"/>
                <c:pt idx="0">
                  <c:v>0.81</c:v>
                </c:pt>
              </c:numCache>
            </c:numRef>
          </c:val>
        </c:ser>
        <c:ser>
          <c:idx val="9"/>
          <c:order val="9"/>
          <c:tx>
            <c:strRef>
              <c:f>current!$A$23</c:f>
              <c:strCache>
                <c:ptCount val="1"/>
                <c:pt idx="0">
                  <c:v>3060 ("ref", PyTorch 2.3.1)</c:v>
                </c:pt>
              </c:strCache>
            </c:strRef>
          </c:tx>
          <c:spPr bwMode="auto">
            <a:prstGeom prst="rect">
              <a:avLst/>
            </a:prstGeom>
            <a:solidFill>
              <a:schemeClr val="accent4">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current!$B$1</c:f>
              <c:strCache>
                <c:ptCount val="1"/>
                <c:pt idx="0">
                  <c:v>stylegan3-r</c:v>
                </c:pt>
              </c:strCache>
            </c:strRef>
          </c:cat>
          <c:val>
            <c:numRef>
              <c:f>current!$B$23</c:f>
              <c:numCache>
                <c:formatCode>0.00</c:formatCode>
                <c:ptCount val="1"/>
                <c:pt idx="0">
                  <c:v>0.78</c:v>
                </c:pt>
              </c:numCache>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5"/>
        <c:axId val="2140842341"/>
        <c:axId val="2140842342"/>
      </c:barChart>
      <c:catAx>
        <c:axId val="2140842341"/>
        <c:scaling>
          <c:orientation val="minMax"/>
        </c:scaling>
        <c:delete val="1"/>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342"/>
        <c:crosses val="autoZero"/>
        <c:auto val="1"/>
        <c:lblAlgn val="ctr"/>
        <c:lblOffset val="100"/>
        <c:tickMarkSkip val="1"/>
        <c:noMultiLvlLbl val="0"/>
      </c:catAx>
      <c:valAx>
        <c:axId val="2140842342"/>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title>
          <c:tx>
            <c:rich>
              <a:bodyPr/>
              <a:p>
                <a:pPr>
                  <a:defRPr/>
                </a:pPr>
                <a:r>
                  <a:rPr/>
                  <a:t>it/s</a:t>
                </a:r>
                <a:endParaRPr/>
              </a:p>
            </c:rich>
          </c:tx>
          <c:layout/>
          <c:overlay val="0"/>
          <c:spPr bwMode="auto">
            <a:prstGeom prst="rect">
              <a:avLst/>
            </a:prstGeom>
            <a:noFill/>
            <a:ln>
              <a:noFill/>
            </a:ln>
          </c:spPr>
          <c:txPr>
            <a:bodyPr/>
            <a:p>
              <a:pPr>
                <a:defRPr sz="1000">
                  <a:solidFill>
                    <a:schemeClr val="tx1">
                      <a:lumMod val="65000"/>
                      <a:lumOff val="35000"/>
                    </a:schemeClr>
                  </a:solidFill>
                  <a:latin typeface="+mn-lt"/>
                  <a:ea typeface="+mn-ea"/>
                  <a:cs typeface="+mn-cs"/>
                </a:defRPr>
              </a:pPr>
              <a:endParaRPr/>
            </a:p>
          </c:txPr>
        </c:title>
        <c:numFmt formatCode="0.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34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15316199" y="10525123"/>
      <a:ext cx="7086600" cy="415289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b="1"/>
              <a:t>stylegan2</a:t>
            </a:r>
            <a:r>
              <a:rPr/>
              <a:t> </a:t>
            </a:r>
            <a:r>
              <a:rPr/>
              <a:t>performance with custom kernels (SYCL </a:t>
            </a:r>
            <a:r>
              <a:rPr/>
              <a:t>or CUDA)</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current!$A$2</c:f>
              <c:strCache>
                <c:ptCount val="1"/>
                <c:pt idx="0">
                  <c:v>A770 (SYCL, PyTorch 2.1.x)</c:v>
                </c:pt>
              </c:strCache>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current!$D$2</c:f>
              <c:numCache>
                <c:formatCode>0.00</c:formatCode>
                <c:ptCount val="1"/>
                <c:pt idx="0">
                  <c:v>27.27</c:v>
                </c:pt>
              </c:numCache>
            </c:numRef>
          </c:val>
        </c:ser>
        <c:ser>
          <c:idx val="1"/>
          <c:order val="1"/>
          <c:tx>
            <c:strRef>
              <c:f>current!$A$3</c:f>
              <c:strCache>
                <c:ptCount val="1"/>
                <c:pt idx="0">
                  <c:v>A770 (SYCL, PyTorch 2.1.x)</c:v>
                </c:pt>
              </c:strCache>
            </c:strRef>
          </c:tx>
          <c:spPr bwMode="auto">
            <a:prstGeom prst="rect">
              <a:avLst/>
            </a:prstGeom>
            <a:solidFill>
              <a:schemeClr val="accent2"/>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current!$D$3</c:f>
              <c:numCache>
                <c:formatCode>0.00</c:formatCode>
                <c:ptCount val="1"/>
                <c:pt idx="0">
                  <c:v>27.23</c:v>
                </c:pt>
              </c:numCache>
            </c:numRef>
          </c:val>
        </c:ser>
        <c:ser>
          <c:idx val="2"/>
          <c:order val="2"/>
          <c:tx>
            <c:strRef>
              <c:f>current!$A$4</c:f>
              <c:strCache>
                <c:ptCount val="1"/>
                <c:pt idx="0">
                  <c:v>A770 (SYCL, PyTorch 2.3.x)</c:v>
                </c:pt>
              </c:strCache>
            </c:strRef>
          </c:tx>
          <c:spPr bwMode="auto">
            <a:prstGeom prst="rect">
              <a:avLst/>
            </a:prstGeom>
            <a:solidFill>
              <a:schemeClr val="accent3"/>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current!$D$4</c:f>
              <c:numCache>
                <c:formatCode>0.00</c:formatCode>
                <c:ptCount val="1"/>
                <c:pt idx="0">
                  <c:v>21.14</c:v>
                </c:pt>
              </c:numCache>
            </c:numRef>
          </c:val>
        </c:ser>
        <c:ser>
          <c:idx val="3"/>
          <c:order val="3"/>
          <c:tx>
            <c:strRef>
              <c:f>current!$A$5</c:f>
              <c:strCache>
                <c:ptCount val="1"/>
                <c:pt idx="0">
                  <c:v>PVC Max 1100 (SYCL, PyTorch 2.1.x)</c:v>
                </c:pt>
              </c:strCache>
            </c:strRef>
          </c:tx>
          <c:spPr bwMode="auto">
            <a:prstGeom prst="rect">
              <a:avLst/>
            </a:prstGeom>
            <a:solidFill>
              <a:schemeClr val="accent4"/>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current!$D$5</c:f>
              <c:numCache>
                <c:formatCode>0.00</c:formatCode>
                <c:ptCount val="1"/>
                <c:pt idx="0">
                  <c:v>33.37</c:v>
                </c:pt>
              </c:numCache>
            </c:numRef>
          </c:val>
        </c:ser>
        <c:ser>
          <c:idx val="4"/>
          <c:order val="4"/>
          <c:tx>
            <c:strRef>
              <c:f>current!$A$6</c:f>
              <c:strCache>
                <c:ptCount val="1"/>
                <c:pt idx="0">
                  <c:v>PVC Max 1100 (SYCL, PyTorch 2.1.x)</c:v>
                </c:pt>
              </c:strCache>
            </c:strRef>
          </c:tx>
          <c:spPr bwMode="auto">
            <a:prstGeom prst="rect">
              <a:avLst/>
            </a:prstGeom>
            <a:solidFill>
              <a:schemeClr val="accent5"/>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current!$D$6</c:f>
              <c:numCache>
                <c:formatCode>0.00</c:formatCode>
                <c:ptCount val="1"/>
                <c:pt idx="0">
                  <c:v>32.62</c:v>
                </c:pt>
              </c:numCache>
            </c:numRef>
          </c:val>
        </c:ser>
        <c:ser>
          <c:idx val="5"/>
          <c:order val="5"/>
          <c:tx>
            <c:strRef>
              <c:f>current!$A$7</c:f>
              <c:strCache>
                <c:ptCount val="1"/>
                <c:pt idx="0">
                  <c:v>PVC Max 1100 (SYCL, PyTorch 2.3.x)</c:v>
                </c:pt>
              </c:strCache>
            </c:strRef>
          </c:tx>
          <c:spPr bwMode="auto">
            <a:prstGeom prst="rect">
              <a:avLst/>
            </a:prstGeom>
            <a:solidFill>
              <a:schemeClr val="accent6"/>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current!$D$7</c:f>
              <c:numCache>
                <c:formatCode>0.00</c:formatCode>
                <c:ptCount val="1"/>
                <c:pt idx="0">
                  <c:v>35.04</c:v>
                </c:pt>
              </c:numCache>
            </c:numRef>
          </c:val>
        </c:ser>
        <c:ser>
          <c:idx val="6"/>
          <c:order val="6"/>
          <c:tx>
            <c:strRef>
              <c:f>current!$A$8</c:f>
              <c:strCache>
                <c:ptCount val="1"/>
                <c:pt idx="0">
                  <c:v>1080Ti (CUDA, PyTorch 1.9.1)</c:v>
                </c:pt>
              </c:strCache>
            </c:strRef>
          </c:tx>
          <c:spPr bwMode="auto">
            <a:prstGeom prst="rect">
              <a:avLst/>
            </a:prstGeom>
            <a:solidFill>
              <a:schemeClr val="accent1">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current!$D$8</c:f>
              <c:numCache>
                <c:formatCode>0.00</c:formatCode>
                <c:ptCount val="1"/>
                <c:pt idx="0">
                  <c:v>20.83</c:v>
                </c:pt>
              </c:numCache>
            </c:numRef>
          </c:val>
        </c:ser>
        <c:ser>
          <c:idx val="7"/>
          <c:order val="7"/>
          <c:tx>
            <c:strRef>
              <c:f>current!$A$9</c:f>
              <c:strCache>
                <c:ptCount val="1"/>
                <c:pt idx="0">
                  <c:v>1080Ti (CUDA, PyTorch 1.9.1)</c:v>
                </c:pt>
              </c:strCache>
            </c:strRef>
          </c:tx>
          <c:spPr bwMode="auto">
            <a:prstGeom prst="rect">
              <a:avLst/>
            </a:prstGeom>
            <a:solidFill>
              <a:schemeClr val="accent2">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current!$D$9</c:f>
              <c:numCache>
                <c:formatCode>0.00</c:formatCode>
                <c:ptCount val="1"/>
                <c:pt idx="0">
                  <c:v>22.07</c:v>
                </c:pt>
              </c:numCache>
            </c:numRef>
          </c:val>
        </c:ser>
        <c:ser>
          <c:idx val="8"/>
          <c:order val="8"/>
          <c:tx>
            <c:strRef>
              <c:f>current!$A$10</c:f>
              <c:strCache>
                <c:ptCount val="1"/>
                <c:pt idx="0">
                  <c:v>1080Ti (CUDA, PyTorch 2.1.2)</c:v>
                </c:pt>
              </c:strCache>
            </c:strRef>
          </c:tx>
          <c:spPr bwMode="auto">
            <a:prstGeom prst="rect">
              <a:avLst/>
            </a:prstGeom>
            <a:solidFill>
              <a:schemeClr val="accent3">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current!$D$10</c:f>
              <c:numCache>
                <c:formatCode>0.00</c:formatCode>
                <c:ptCount val="1"/>
                <c:pt idx="0">
                  <c:v>36.68</c:v>
                </c:pt>
              </c:numCache>
            </c:numRef>
          </c:val>
        </c:ser>
        <c:ser>
          <c:idx val="9"/>
          <c:order val="9"/>
          <c:tx>
            <c:strRef>
              <c:f>current!$A$11</c:f>
              <c:strCache>
                <c:ptCount val="1"/>
                <c:pt idx="0">
                  <c:v>1080Ti (CUDA, PyTorch 2.3.1)</c:v>
                </c:pt>
              </c:strCache>
            </c:strRef>
          </c:tx>
          <c:spPr bwMode="auto">
            <a:prstGeom prst="rect">
              <a:avLst/>
            </a:prstGeom>
            <a:solidFill>
              <a:schemeClr val="accent4">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current!$D$11</c:f>
              <c:numCache>
                <c:formatCode>0.00</c:formatCode>
                <c:ptCount val="1"/>
                <c:pt idx="0">
                  <c:v>38.2</c:v>
                </c:pt>
              </c:numCache>
            </c:numRef>
          </c:val>
        </c:ser>
        <c:ser>
          <c:idx val="10"/>
          <c:order val="10"/>
          <c:tx>
            <c:strRef>
              <c:f>current!$A$12</c:f>
              <c:strCache>
                <c:ptCount val="1"/>
                <c:pt idx="0">
                  <c:v>3060 (CUDA, PyTorch 1.9.1)</c:v>
                </c:pt>
              </c:strCache>
            </c:strRef>
          </c:tx>
          <c:spPr bwMode="auto">
            <a:prstGeom prst="rect">
              <a:avLst/>
            </a:prstGeom>
            <a:solidFill>
              <a:schemeClr val="accent5">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current!$D$12</c:f>
              <c:numCache>
                <c:formatCode>0.00</c:formatCode>
                <c:ptCount val="1"/>
                <c:pt idx="0">
                  <c:v>42.22</c:v>
                </c:pt>
              </c:numCache>
            </c:numRef>
          </c:val>
        </c:ser>
        <c:ser>
          <c:idx val="11"/>
          <c:order val="11"/>
          <c:tx>
            <c:strRef>
              <c:f>current!$A$13</c:f>
              <c:strCache>
                <c:ptCount val="1"/>
                <c:pt idx="0">
                  <c:v>3060 (CUDA, PyTorch 2.3.1)</c:v>
                </c:pt>
              </c:strCache>
            </c:strRef>
          </c:tx>
          <c:spPr bwMode="auto">
            <a:prstGeom prst="rect">
              <a:avLst/>
            </a:prstGeom>
            <a:solidFill>
              <a:schemeClr val="accent6">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current!$D$13</c:f>
              <c:numCache>
                <c:formatCode>0.00</c:formatCode>
                <c:ptCount val="1"/>
                <c:pt idx="0">
                  <c:v>52.83</c:v>
                </c:pt>
              </c:numCache>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5"/>
        <c:axId val="2140842335"/>
        <c:axId val="2140842336"/>
      </c:barChart>
      <c:catAx>
        <c:axId val="2140842335"/>
        <c:scaling>
          <c:orientation val="minMax"/>
        </c:scaling>
        <c:delete val="1"/>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336"/>
        <c:crosses val="autoZero"/>
        <c:auto val="1"/>
        <c:lblAlgn val="ctr"/>
        <c:lblOffset val="100"/>
        <c:tickMarkSkip val="1"/>
        <c:noMultiLvlLbl val="0"/>
      </c:catAx>
      <c:valAx>
        <c:axId val="2140842336"/>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title>
          <c:tx>
            <c:rich>
              <a:bodyPr/>
              <a:p>
                <a:pPr>
                  <a:defRPr/>
                </a:pPr>
                <a:r>
                  <a:rPr/>
                  <a:t>it/s</a:t>
                </a:r>
                <a:endParaRPr/>
              </a:p>
            </c:rich>
          </c:tx>
          <c:layout/>
          <c:overlay val="0"/>
          <c:spPr bwMode="auto">
            <a:prstGeom prst="rect">
              <a:avLst/>
            </a:prstGeom>
            <a:noFill/>
            <a:ln>
              <a:noFill/>
            </a:ln>
          </c:spPr>
          <c:txPr>
            <a:bodyPr/>
            <a:p>
              <a:pPr>
                <a:defRPr sz="1000">
                  <a:solidFill>
                    <a:schemeClr val="tx1">
                      <a:lumMod val="65000"/>
                      <a:lumOff val="35000"/>
                    </a:schemeClr>
                  </a:solidFill>
                  <a:latin typeface="+mn-lt"/>
                  <a:ea typeface="+mn-ea"/>
                  <a:cs typeface="+mn-cs"/>
                </a:defRPr>
              </a:pPr>
              <a:endParaRPr/>
            </a:p>
          </c:txPr>
        </c:title>
        <c:numFmt formatCode="0.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335"/>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22631400" y="6372222"/>
      <a:ext cx="7086600" cy="415289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b="1"/>
              <a:t>stylegan2</a:t>
            </a:r>
            <a:r>
              <a:rPr/>
              <a:t>)snoitarepo evitan-hccustom ( slenr</a:t>
            </a:r>
            <a:br>
              <a:rPr/>
            </a:br>
            <a:r>
              <a:rPr/>
              <a:t>k dezimitpo tuohtiw ecnamrforep </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current!$A$14</c:f>
              <c:strCache>
                <c:ptCount val="1"/>
                <c:pt idx="0">
                  <c:v>A770 ("ref", PyTorch 2.1.x)</c:v>
                </c:pt>
              </c:strCache>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current!$D$14</c:f>
              <c:numCache>
                <c:formatCode>0.00</c:formatCode>
                <c:ptCount val="1"/>
                <c:pt idx="0">
                  <c:v>24.52</c:v>
                </c:pt>
              </c:numCache>
            </c:numRef>
          </c:val>
        </c:ser>
        <c:ser>
          <c:idx val="1"/>
          <c:order val="1"/>
          <c:tx>
            <c:strRef>
              <c:f>current!$A$15</c:f>
              <c:strCache>
                <c:ptCount val="1"/>
                <c:pt idx="0">
                  <c:v>A770 ("ref", PyTorch 2.3.x)</c:v>
                </c:pt>
              </c:strCache>
            </c:strRef>
          </c:tx>
          <c:spPr bwMode="auto">
            <a:prstGeom prst="rect">
              <a:avLst/>
            </a:prstGeom>
            <a:solidFill>
              <a:schemeClr val="accent2"/>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current!$D$15</c:f>
              <c:numCache>
                <c:formatCode>0.00</c:formatCode>
                <c:ptCount val="1"/>
                <c:pt idx="0">
                  <c:v>20.69</c:v>
                </c:pt>
              </c:numCache>
            </c:numRef>
          </c:val>
        </c:ser>
        <c:ser>
          <c:idx val="2"/>
          <c:order val="2"/>
          <c:tx>
            <c:strRef>
              <c:f>current!$A$16</c:f>
              <c:strCache>
                <c:ptCount val="1"/>
                <c:pt idx="0">
                  <c:v>PVC Max 1100 ("ref", PyTorch 2.1.x)</c:v>
                </c:pt>
              </c:strCache>
            </c:strRef>
          </c:tx>
          <c:spPr bwMode="auto">
            <a:prstGeom prst="rect">
              <a:avLst/>
            </a:prstGeom>
            <a:solidFill>
              <a:schemeClr val="accent3"/>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current!$D$16</c:f>
              <c:numCache>
                <c:formatCode>0.00</c:formatCode>
                <c:ptCount val="1"/>
                <c:pt idx="0">
                  <c:v>34.75</c:v>
                </c:pt>
              </c:numCache>
            </c:numRef>
          </c:val>
        </c:ser>
        <c:ser>
          <c:idx val="3"/>
          <c:order val="3"/>
          <c:tx>
            <c:strRef>
              <c:f>current!$A$17</c:f>
              <c:strCache>
                <c:ptCount val="1"/>
                <c:pt idx="0">
                  <c:v>PVC Max 1100 ("ref", PyTorch 2.3.x)</c:v>
                </c:pt>
              </c:strCache>
            </c:strRef>
          </c:tx>
          <c:spPr bwMode="auto">
            <a:prstGeom prst="rect">
              <a:avLst/>
            </a:prstGeom>
            <a:solidFill>
              <a:schemeClr val="accent4"/>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current!$D$17</c:f>
              <c:numCache>
                <c:formatCode>0.00</c:formatCode>
                <c:ptCount val="1"/>
                <c:pt idx="0">
                  <c:v>36.38</c:v>
                </c:pt>
              </c:numCache>
            </c:numRef>
          </c:val>
        </c:ser>
        <c:ser>
          <c:idx val="4"/>
          <c:order val="4"/>
          <c:tx>
            <c:strRef>
              <c:f>current!$A$18</c:f>
              <c:strCache>
                <c:ptCount val="1"/>
                <c:pt idx="0">
                  <c:v>1080Ti ("ref", PyTorch 1.9.1)</c:v>
                </c:pt>
              </c:strCache>
            </c:strRef>
          </c:tx>
          <c:spPr bwMode="auto">
            <a:prstGeom prst="rect">
              <a:avLst/>
            </a:prstGeom>
            <a:solidFill>
              <a:schemeClr val="accent5"/>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current!$D$18</c:f>
              <c:numCache>
                <c:formatCode>0.00</c:formatCode>
                <c:ptCount val="1"/>
                <c:pt idx="0">
                  <c:v>15.13</c:v>
                </c:pt>
              </c:numCache>
            </c:numRef>
          </c:val>
        </c:ser>
        <c:ser>
          <c:idx val="5"/>
          <c:order val="5"/>
          <c:tx>
            <c:strRef>
              <c:f>current!$A$19</c:f>
              <c:strCache>
                <c:ptCount val="1"/>
                <c:pt idx="0">
                  <c:v>1080Ti ("ref", PyTorch 1.9.1)</c:v>
                </c:pt>
              </c:strCache>
            </c:strRef>
          </c:tx>
          <c:spPr bwMode="auto">
            <a:prstGeom prst="rect">
              <a:avLst/>
            </a:prstGeom>
            <a:solidFill>
              <a:schemeClr val="accent6"/>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current!$D$19</c:f>
              <c:numCache>
                <c:formatCode>0.00</c:formatCode>
                <c:ptCount val="1"/>
                <c:pt idx="0">
                  <c:v>16.02</c:v>
                </c:pt>
              </c:numCache>
            </c:numRef>
          </c:val>
        </c:ser>
        <c:ser>
          <c:idx val="6"/>
          <c:order val="6"/>
          <c:tx>
            <c:strRef>
              <c:f>current!$A$20</c:f>
              <c:strCache>
                <c:ptCount val="1"/>
                <c:pt idx="0">
                  <c:v>1080Ti ("ref", PyTorch 2.1.2)</c:v>
                </c:pt>
              </c:strCache>
            </c:strRef>
          </c:tx>
          <c:spPr bwMode="auto">
            <a:prstGeom prst="rect">
              <a:avLst/>
            </a:prstGeom>
            <a:solidFill>
              <a:schemeClr val="accent1">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current!$D$20</c:f>
              <c:numCache>
                <c:formatCode>0.00</c:formatCode>
                <c:ptCount val="1"/>
                <c:pt idx="0">
                  <c:v>22.7</c:v>
                </c:pt>
              </c:numCache>
            </c:numRef>
          </c:val>
        </c:ser>
        <c:ser>
          <c:idx val="7"/>
          <c:order val="7"/>
          <c:tx>
            <c:strRef>
              <c:f>current!$A$21</c:f>
              <c:strCache>
                <c:ptCount val="1"/>
                <c:pt idx="0">
                  <c:v>1080Ti ("ref", PyTorch 2.3.1)</c:v>
                </c:pt>
              </c:strCache>
            </c:strRef>
          </c:tx>
          <c:spPr bwMode="auto">
            <a:prstGeom prst="rect">
              <a:avLst/>
            </a:prstGeom>
            <a:solidFill>
              <a:schemeClr val="accent2">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current!$D$21</c:f>
              <c:numCache>
                <c:formatCode>0.00</c:formatCode>
                <c:ptCount val="1"/>
                <c:pt idx="0">
                  <c:v>25.14</c:v>
                </c:pt>
              </c:numCache>
            </c:numRef>
          </c:val>
        </c:ser>
        <c:ser>
          <c:idx val="8"/>
          <c:order val="8"/>
          <c:tx>
            <c:strRef>
              <c:f>current!$A$22</c:f>
              <c:strCache>
                <c:ptCount val="1"/>
                <c:pt idx="0">
                  <c:v>3060 ("ref", PyTorch 1.9.1)</c:v>
                </c:pt>
              </c:strCache>
            </c:strRef>
          </c:tx>
          <c:spPr bwMode="auto">
            <a:prstGeom prst="rect">
              <a:avLst/>
            </a:prstGeom>
            <a:solidFill>
              <a:schemeClr val="accent3">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current!$D$22</c:f>
              <c:numCache>
                <c:formatCode>0.00</c:formatCode>
                <c:ptCount val="1"/>
                <c:pt idx="0">
                  <c:v>29.75</c:v>
                </c:pt>
              </c:numCache>
            </c:numRef>
          </c:val>
        </c:ser>
        <c:ser>
          <c:idx val="9"/>
          <c:order val="9"/>
          <c:tx>
            <c:strRef>
              <c:f>current!$A$23</c:f>
              <c:strCache>
                <c:ptCount val="1"/>
                <c:pt idx="0">
                  <c:v>3060 ("ref", PyTorch 2.3.1)</c:v>
                </c:pt>
              </c:strCache>
            </c:strRef>
          </c:tx>
          <c:spPr bwMode="auto">
            <a:prstGeom prst="rect">
              <a:avLst/>
            </a:prstGeom>
            <a:solidFill>
              <a:schemeClr val="accent4">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current!$D$1</c:f>
              <c:strCache>
                <c:ptCount val="1"/>
                <c:pt idx="0">
                  <c:v>stylegan2</c:v>
                </c:pt>
              </c:strCache>
            </c:strRef>
          </c:cat>
          <c:val>
            <c:numRef>
              <c:f>current!$D$23</c:f>
              <c:numCache>
                <c:formatCode>0.00</c:formatCode>
                <c:ptCount val="1"/>
                <c:pt idx="0">
                  <c:v>39.83</c:v>
                </c:pt>
              </c:numCache>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5"/>
        <c:axId val="2140842339"/>
        <c:axId val="2140842340"/>
      </c:barChart>
      <c:catAx>
        <c:axId val="2140842339"/>
        <c:scaling>
          <c:orientation val="minMax"/>
        </c:scaling>
        <c:delete val="1"/>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340"/>
        <c:crosses val="autoZero"/>
        <c:auto val="1"/>
        <c:lblAlgn val="ctr"/>
        <c:lblOffset val="100"/>
        <c:tickMarkSkip val="1"/>
        <c:noMultiLvlLbl val="0"/>
      </c:catAx>
      <c:valAx>
        <c:axId val="2140842340"/>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title>
          <c:tx>
            <c:rich>
              <a:bodyPr/>
              <a:p>
                <a:pPr>
                  <a:defRPr/>
                </a:pPr>
                <a:r>
                  <a:rPr/>
                  <a:t>it/s</a:t>
                </a:r>
                <a:endParaRPr/>
              </a:p>
            </c:rich>
          </c:tx>
          <c:layout/>
          <c:overlay val="0"/>
          <c:spPr bwMode="auto">
            <a:prstGeom prst="rect">
              <a:avLst/>
            </a:prstGeom>
            <a:noFill/>
            <a:ln>
              <a:noFill/>
            </a:ln>
          </c:spPr>
          <c:txPr>
            <a:bodyPr/>
            <a:p>
              <a:pPr>
                <a:defRPr sz="1000">
                  <a:solidFill>
                    <a:schemeClr val="tx1">
                      <a:lumMod val="65000"/>
                      <a:lumOff val="35000"/>
                    </a:schemeClr>
                  </a:solidFill>
                  <a:latin typeface="+mn-lt"/>
                  <a:ea typeface="+mn-ea"/>
                  <a:cs typeface="+mn-cs"/>
                </a:defRPr>
              </a:pPr>
              <a:endParaRPr/>
            </a:p>
          </c:txPr>
        </c:title>
        <c:numFmt formatCode="0.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339"/>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22631400" y="10525122"/>
      <a:ext cx="7086600" cy="415289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a:t>Relative speedups when using custom kernels</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current!$A$37</c:f>
              <c:strCache>
                <c:ptCount val="1"/>
                <c:pt idx="0">
                  <c:v>A770 (speedup "ref" -&gt; XPU, PyTorch 2.1.x)</c:v>
                </c:pt>
              </c:strCache>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current!$C$36</c:f>
              <c:strCache>
                <c:ptCount val="1"/>
                <c:pt idx="0">
                  <c:v>stylegan3-t</c:v>
                </c:pt>
              </c:strCache>
            </c:strRef>
          </c:cat>
          <c:val>
            <c:numRef>
              <c:f>current!$C$37</c:f>
              <c:numCache>
                <c:formatCode>0.0</c:formatCode>
                <c:ptCount val="1"/>
                <c:pt idx="0">
                  <c:v>5.655367231638418</c:v>
                </c:pt>
              </c:numCache>
            </c:numRef>
          </c:val>
        </c:ser>
        <c:ser>
          <c:idx val="1"/>
          <c:order val="1"/>
          <c:tx>
            <c:strRef>
              <c:f>current!$A$38</c:f>
              <c:strCache>
                <c:ptCount val="1"/>
                <c:pt idx="0">
                  <c:v>A770 (speedup "ref" -&gt; XPU, PyTorch 2.3.x)</c:v>
                </c:pt>
              </c:strCache>
            </c:strRef>
          </c:tx>
          <c:spPr bwMode="auto">
            <a:prstGeom prst="rect">
              <a:avLst/>
            </a:prstGeom>
            <a:solidFill>
              <a:schemeClr val="accent2"/>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current!$C$36</c:f>
              <c:strCache>
                <c:ptCount val="1"/>
                <c:pt idx="0">
                  <c:v>stylegan3-t</c:v>
                </c:pt>
              </c:strCache>
            </c:strRef>
          </c:cat>
          <c:val>
            <c:numRef>
              <c:f>current!$C$38</c:f>
              <c:numCache>
                <c:formatCode>0.0</c:formatCode>
                <c:ptCount val="1"/>
                <c:pt idx="0">
                  <c:v>5.308571428571428</c:v>
                </c:pt>
              </c:numCache>
            </c:numRef>
          </c:val>
        </c:ser>
        <c:ser>
          <c:idx val="2"/>
          <c:order val="2"/>
          <c:tx>
            <c:strRef>
              <c:f>current!$A$39</c:f>
              <c:strCache>
                <c:ptCount val="1"/>
                <c:pt idx="0">
                  <c:v>PVC Max 1100 (speedup "ref" -&gt; XPU, PyTorch 2.1.x)</c:v>
                </c:pt>
              </c:strCache>
            </c:strRef>
          </c:tx>
          <c:spPr bwMode="auto">
            <a:prstGeom prst="rect">
              <a:avLst/>
            </a:prstGeom>
            <a:solidFill>
              <a:schemeClr val="accent3"/>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current!$C$36</c:f>
              <c:strCache>
                <c:ptCount val="1"/>
                <c:pt idx="0">
                  <c:v>stylegan3-t</c:v>
                </c:pt>
              </c:strCache>
            </c:strRef>
          </c:cat>
          <c:val>
            <c:numRef>
              <c:f>current!$C$39</c:f>
              <c:numCache>
                <c:formatCode>0.0</c:formatCode>
                <c:ptCount val="1"/>
                <c:pt idx="0">
                  <c:v>4.678456591639872</c:v>
                </c:pt>
              </c:numCache>
            </c:numRef>
          </c:val>
        </c:ser>
        <c:ser>
          <c:idx val="3"/>
          <c:order val="3"/>
          <c:tx>
            <c:strRef>
              <c:f>current!$A$40</c:f>
              <c:strCache>
                <c:ptCount val="1"/>
                <c:pt idx="0">
                  <c:v>PVC Max 1100 (speedup "ref" -&gt; XPU, PyTorch 2.3.x)</c:v>
                </c:pt>
              </c:strCache>
            </c:strRef>
          </c:tx>
          <c:spPr bwMode="auto">
            <a:prstGeom prst="rect">
              <a:avLst/>
            </a:prstGeom>
            <a:solidFill>
              <a:schemeClr val="accent4"/>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current!$C$36</c:f>
              <c:strCache>
                <c:ptCount val="1"/>
                <c:pt idx="0">
                  <c:v>stylegan3-t</c:v>
                </c:pt>
              </c:strCache>
            </c:strRef>
          </c:cat>
          <c:val>
            <c:numRef>
              <c:f>current!$C$40</c:f>
              <c:numCache>
                <c:formatCode>0.0</c:formatCode>
                <c:ptCount val="1"/>
                <c:pt idx="0">
                  <c:v>4.665594855305466</c:v>
                </c:pt>
              </c:numCache>
            </c:numRef>
          </c:val>
        </c:ser>
        <c:ser>
          <c:idx val="4"/>
          <c:order val="4"/>
          <c:tx>
            <c:strRef>
              <c:f>current!$A$41</c:f>
              <c:strCache>
                <c:ptCount val="1"/>
                <c:pt idx="0">
                  <c:v>1080Ti (speedup "ref" -&gt; CUDA, PyTorch 1.9.1)</c:v>
                </c:pt>
              </c:strCache>
            </c:strRef>
          </c:tx>
          <c:spPr bwMode="auto">
            <a:prstGeom prst="rect">
              <a:avLst/>
            </a:prstGeom>
            <a:solidFill>
              <a:schemeClr val="accent5"/>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current!$C$36</c:f>
              <c:strCache>
                <c:ptCount val="1"/>
                <c:pt idx="0">
                  <c:v>stylegan3-t</c:v>
                </c:pt>
              </c:strCache>
            </c:strRef>
          </c:cat>
          <c:val>
            <c:numRef>
              <c:f>current!$C$41</c:f>
              <c:numCache>
                <c:formatCode>0.0</c:formatCode>
                <c:ptCount val="1"/>
                <c:pt idx="0">
                  <c:v>11.16304347826087</c:v>
                </c:pt>
              </c:numCache>
            </c:numRef>
          </c:val>
        </c:ser>
        <c:ser>
          <c:idx val="5"/>
          <c:order val="5"/>
          <c:tx>
            <c:strRef>
              <c:f>current!$A$42</c:f>
              <c:strCache>
                <c:ptCount val="1"/>
                <c:pt idx="0">
                  <c:v>1080Ti (speedup "ref" -&gt; CUDA, PyTorch 1.9.1)</c:v>
                </c:pt>
              </c:strCache>
            </c:strRef>
          </c:tx>
          <c:spPr bwMode="auto">
            <a:prstGeom prst="rect">
              <a:avLst/>
            </a:prstGeom>
            <a:solidFill>
              <a:schemeClr val="accent6"/>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current!$C$36</c:f>
              <c:strCache>
                <c:ptCount val="1"/>
                <c:pt idx="0">
                  <c:v>stylegan3-t</c:v>
                </c:pt>
              </c:strCache>
            </c:strRef>
          </c:cat>
          <c:val>
            <c:numRef>
              <c:f>current!$C$42</c:f>
              <c:numCache>
                <c:formatCode>0.0</c:formatCode>
                <c:ptCount val="1"/>
                <c:pt idx="0">
                  <c:v>11.237113402061857</c:v>
                </c:pt>
              </c:numCache>
            </c:numRef>
          </c:val>
        </c:ser>
        <c:ser>
          <c:idx val="6"/>
          <c:order val="6"/>
          <c:tx>
            <c:strRef>
              <c:f>current!$A$43</c:f>
              <c:strCache>
                <c:ptCount val="1"/>
                <c:pt idx="0">
                  <c:v>1080Ti (speedup "ref" -&gt; CUDA, PyTorch 2.1.2)</c:v>
                </c:pt>
              </c:strCache>
            </c:strRef>
          </c:tx>
          <c:spPr bwMode="auto">
            <a:prstGeom prst="rect">
              <a:avLst/>
            </a:prstGeom>
            <a:solidFill>
              <a:schemeClr val="accent1">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current!$C$36</c:f>
              <c:strCache>
                <c:ptCount val="1"/>
                <c:pt idx="0">
                  <c:v>stylegan3-t</c:v>
                </c:pt>
              </c:strCache>
            </c:strRef>
          </c:cat>
          <c:val>
            <c:numRef>
              <c:f>current!$C$43</c:f>
              <c:numCache>
                <c:formatCode>0.0</c:formatCode>
                <c:ptCount val="1"/>
                <c:pt idx="0">
                  <c:v>8.585365853658537</c:v>
                </c:pt>
              </c:numCache>
            </c:numRef>
          </c:val>
        </c:ser>
        <c:ser>
          <c:idx val="7"/>
          <c:order val="7"/>
          <c:tx>
            <c:strRef>
              <c:f>current!$A$44</c:f>
              <c:strCache>
                <c:ptCount val="1"/>
                <c:pt idx="0">
                  <c:v>1080Ti (speedup "ref" -&gt; CUDA, PyTorch 2.3.1)</c:v>
                </c:pt>
              </c:strCache>
            </c:strRef>
          </c:tx>
          <c:spPr bwMode="auto">
            <a:prstGeom prst="rect">
              <a:avLst/>
            </a:prstGeom>
            <a:solidFill>
              <a:schemeClr val="accent2">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current!$C$36</c:f>
              <c:strCache>
                <c:ptCount val="1"/>
                <c:pt idx="0">
                  <c:v>stylegan3-t</c:v>
                </c:pt>
              </c:strCache>
            </c:strRef>
          </c:cat>
          <c:val>
            <c:numRef>
              <c:f>current!$C$44</c:f>
              <c:numCache>
                <c:formatCode>0.0</c:formatCode>
                <c:ptCount val="1"/>
                <c:pt idx="0">
                  <c:v>8</c:v>
                </c:pt>
              </c:numCache>
            </c:numRef>
          </c:val>
        </c:ser>
        <c:ser>
          <c:idx val="8"/>
          <c:order val="8"/>
          <c:tx>
            <c:strRef>
              <c:f>current!$A$45</c:f>
              <c:strCache>
                <c:ptCount val="1"/>
                <c:pt idx="0">
                  <c:v>3060 (speedup "ref" -&gt; CUDA, PyTorch 1.9.1)</c:v>
                </c:pt>
              </c:strCache>
            </c:strRef>
          </c:tx>
          <c:spPr bwMode="auto">
            <a:prstGeom prst="rect">
              <a:avLst/>
            </a:prstGeom>
            <a:solidFill>
              <a:schemeClr val="accent3">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current!$C$36</c:f>
              <c:strCache>
                <c:ptCount val="1"/>
                <c:pt idx="0">
                  <c:v>stylegan3-t</c:v>
                </c:pt>
              </c:strCache>
            </c:strRef>
          </c:cat>
          <c:val>
            <c:numRef>
              <c:f>current!$C$45</c:f>
              <c:numCache>
                <c:formatCode>0.0</c:formatCode>
                <c:ptCount val="1"/>
                <c:pt idx="0">
                  <c:v>9.369791666666666</c:v>
                </c:pt>
              </c:numCache>
            </c:numRef>
          </c:val>
        </c:ser>
        <c:ser>
          <c:idx val="9"/>
          <c:order val="9"/>
          <c:tx>
            <c:strRef>
              <c:f>current!$A$46</c:f>
              <c:strCache>
                <c:ptCount val="1"/>
                <c:pt idx="0">
                  <c:v>3060 (speedup "ref" -&gt; CUDA, PyTorch 2.3.1)</c:v>
                </c:pt>
              </c:strCache>
            </c:strRef>
          </c:tx>
          <c:spPr bwMode="auto">
            <a:prstGeom prst="rect">
              <a:avLst/>
            </a:prstGeom>
            <a:solidFill>
              <a:schemeClr val="accent4">
                <a:lumMod val="60000"/>
              </a:schemeClr>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current!$C$36</c:f>
              <c:strCache>
                <c:ptCount val="1"/>
                <c:pt idx="0">
                  <c:v>stylegan3-t</c:v>
                </c:pt>
              </c:strCache>
            </c:strRef>
          </c:cat>
          <c:val>
            <c:numRef>
              <c:f>current!$C$46</c:f>
              <c:numCache>
                <c:formatCode>0.0</c:formatCode>
                <c:ptCount val="1"/>
                <c:pt idx="0">
                  <c:v>9.645833333333334</c:v>
                </c:pt>
              </c:numCache>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6"/>
        <c:axId val="2140842393"/>
        <c:axId val="2140842394"/>
      </c:barChart>
      <c:catAx>
        <c:axId val="2140842393"/>
        <c:scaling>
          <c:orientation val="minMax"/>
        </c:scaling>
        <c:delete val="1"/>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394"/>
        <c:crosses val="autoZero"/>
        <c:auto val="1"/>
        <c:lblAlgn val="ctr"/>
        <c:lblOffset val="100"/>
        <c:tickMarkSkip val="1"/>
        <c:noMultiLvlLbl val="0"/>
      </c:catAx>
      <c:valAx>
        <c:axId val="2140842394"/>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numFmt formatCode="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393"/>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0" y="8393904"/>
      <a:ext cx="6572248" cy="3233737"/>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a:pPr>
            <a:r>
              <a:rPr/>
              <a:t>How much is A770 faster than 1800Ti or 3060 when using only PyTorch operations</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current!$A$68:$B$68</c:f>
              <c:strCache>
                <c:ptCount val="2"/>
                <c:pt idx="0">
                  <c:v>A770 vs 1080Ti (PyTorch 2.1.x vs 1.9.1)</c:v>
                </c:pt>
              </c:strCache>
            </c:strRef>
          </c:tx>
          <c:spPr bwMode="auto">
            <a:prstGeom prst="rect">
              <a:avLst/>
            </a:prstGeom>
            <a:solidFill>
              <a:schemeClr val="accent1"/>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current!$C$67</c:f>
              <c:strCache>
                <c:ptCount val="1"/>
                <c:pt idx="0">
                  <c:v>stylegan3-t</c:v>
                </c:pt>
              </c:strCache>
            </c:strRef>
          </c:cat>
          <c:val>
            <c:numRef>
              <c:f>current!$C$68</c:f>
              <c:numCache>
                <c:formatCode>0.00</c:formatCode>
                <c:ptCount val="1"/>
                <c:pt idx="0">
                  <c:v>1.9239130434782608</c:v>
                </c:pt>
              </c:numCache>
            </c:numRef>
          </c:val>
        </c:ser>
        <c:ser>
          <c:idx val="1"/>
          <c:order val="1"/>
          <c:tx>
            <c:strRef>
              <c:f>current!$A$69:$B$69</c:f>
              <c:strCache>
                <c:ptCount val="2"/>
                <c:pt idx="0">
                  <c:v>A770 vs 1080Ti (PyTorch 2.1.x vs 2.1.2)</c:v>
                </c:pt>
              </c:strCache>
            </c:strRef>
          </c:tx>
          <c:spPr bwMode="auto">
            <a:prstGeom prst="rect">
              <a:avLst/>
            </a:prstGeom>
            <a:solidFill>
              <a:schemeClr val="accent2"/>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current!$C$67</c:f>
              <c:strCache>
                <c:ptCount val="1"/>
                <c:pt idx="0">
                  <c:v>stylegan3-t</c:v>
                </c:pt>
              </c:strCache>
            </c:strRef>
          </c:cat>
          <c:val>
            <c:numRef>
              <c:f>current!$C$69</c:f>
              <c:numCache>
                <c:formatCode>0.00</c:formatCode>
                <c:ptCount val="1"/>
                <c:pt idx="0">
                  <c:v>2.158536585365854</c:v>
                </c:pt>
              </c:numCache>
            </c:numRef>
          </c:val>
        </c:ser>
        <c:ser>
          <c:idx val="2"/>
          <c:order val="2"/>
          <c:tx>
            <c:strRef>
              <c:f>current!$A$70:$B$70</c:f>
              <c:strCache>
                <c:ptCount val="2"/>
                <c:pt idx="0">
                  <c:v>A770 vs 1080Ti (PyTorch 2.3.x vs 2.3.1)</c:v>
                </c:pt>
              </c:strCache>
            </c:strRef>
          </c:tx>
          <c:spPr bwMode="auto">
            <a:prstGeom prst="rect">
              <a:avLst/>
            </a:prstGeom>
            <a:solidFill>
              <a:schemeClr val="accent3"/>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current!$C$67</c:f>
              <c:strCache>
                <c:ptCount val="1"/>
                <c:pt idx="0">
                  <c:v>stylegan3-t</c:v>
                </c:pt>
              </c:strCache>
            </c:strRef>
          </c:cat>
          <c:val>
            <c:numRef>
              <c:f>current!$C$70</c:f>
              <c:numCache>
                <c:formatCode>0.00</c:formatCode>
                <c:ptCount val="1"/>
                <c:pt idx="0">
                  <c:v>1.842105263157895</c:v>
                </c:pt>
              </c:numCache>
            </c:numRef>
          </c:val>
        </c:ser>
        <c:ser>
          <c:idx val="3"/>
          <c:order val="3"/>
          <c:tx>
            <c:strRef>
              <c:f>current!$A$71:$B$71</c:f>
              <c:strCache>
                <c:ptCount val="2"/>
                <c:pt idx="0">
                  <c:v>A770 vs 3060 (PyTorch 2.1.x vs 1.9.1)</c:v>
                </c:pt>
              </c:strCache>
            </c:strRef>
          </c:tx>
          <c:spPr bwMode="auto">
            <a:prstGeom prst="rect">
              <a:avLst/>
            </a:prstGeom>
            <a:solidFill>
              <a:schemeClr val="accent4"/>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current!$C$67</c:f>
              <c:strCache>
                <c:ptCount val="1"/>
                <c:pt idx="0">
                  <c:v>stylegan3-t</c:v>
                </c:pt>
              </c:strCache>
            </c:strRef>
          </c:cat>
          <c:val>
            <c:numRef>
              <c:f>current!$C$71</c:f>
              <c:numCache>
                <c:formatCode>0.00</c:formatCode>
                <c:ptCount val="1"/>
                <c:pt idx="0">
                  <c:v>0.921875</c:v>
                </c:pt>
              </c:numCache>
            </c:numRef>
          </c:val>
        </c:ser>
        <c:ser>
          <c:idx val="4"/>
          <c:order val="4"/>
          <c:tx>
            <c:strRef>
              <c:f>current!$A$72:$B$72</c:f>
              <c:strCache>
                <c:ptCount val="2"/>
                <c:pt idx="0">
                  <c:v>A770 vs 3060 (PyTorch 2.3.x vs 2.3.1)</c:v>
                </c:pt>
              </c:strCache>
            </c:strRef>
          </c:tx>
          <c:spPr bwMode="auto">
            <a:prstGeom prst="rect">
              <a:avLst/>
            </a:prstGeom>
            <a:solidFill>
              <a:schemeClr val="accent5"/>
            </a:solidFill>
            <a:ln>
              <a:noFill/>
            </a:ln>
          </c:spP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current!$C$67</c:f>
              <c:strCache>
                <c:ptCount val="1"/>
                <c:pt idx="0">
                  <c:v>stylegan3-t</c:v>
                </c:pt>
              </c:strCache>
            </c:strRef>
          </c:cat>
          <c:val>
            <c:numRef>
              <c:f>current!$C$72</c:f>
              <c:numCache>
                <c:formatCode>0.00</c:formatCode>
                <c:ptCount val="1"/>
                <c:pt idx="0">
                  <c:v>0.9114583333333334</c:v>
                </c:pt>
              </c:numCache>
            </c:numRef>
          </c:val>
        </c:ser>
        <c:dLbls>
          <c:dLblPos val="outEnd"/>
          <c:separator xml:space="preserve"> </c:separator>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6"/>
        <c:axId val="2140842419"/>
        <c:axId val="2140842420"/>
      </c:barChart>
      <c:catAx>
        <c:axId val="2140842419"/>
        <c:scaling>
          <c:orientation val="minMax"/>
        </c:scaling>
        <c:delete val="1"/>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2140842420"/>
        <c:crosses val="autoZero"/>
        <c:auto val="1"/>
        <c:lblAlgn val="ctr"/>
        <c:lblOffset val="100"/>
        <c:tickMarkSkip val="1"/>
        <c:noMultiLvlLbl val="0"/>
      </c:catAx>
      <c:valAx>
        <c:axId val="2140842420"/>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numFmt formatCode="0.00"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2140842419"/>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0" y="13120687"/>
      <a:ext cx="4743449" cy="272414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autoTitleDeleted val="0"/>
    <c:plotArea>
      <c:layout>
        <c:manualLayout/>
      </c:layout>
      <c:pieChart>
        <c:varyColors val="1"/>
        <c:ser>
          <c:idx val="0"/>
          <c:order val="0"/>
          <c:dPt>
            <c:idx val="0"/>
            <c:spPr bwMode="auto">
              <a:prstGeom prst="rect">
                <a:avLst/>
              </a:prstGeom>
              <a:solidFill>
                <a:schemeClr val="accent1"/>
              </a:solidFill>
              <a:ln w="19050">
                <a:solidFill>
                  <a:schemeClr val="lt1"/>
                </a:solidFill>
              </a:ln>
            </c:spPr>
          </c:dPt>
          <c:dPt>
            <c:idx val="1"/>
            <c:spPr bwMode="auto">
              <a:prstGeom prst="rect">
                <a:avLst/>
              </a:prstGeom>
              <a:solidFill>
                <a:schemeClr val="accent2"/>
              </a:solidFill>
              <a:ln w="19050">
                <a:solidFill>
                  <a:schemeClr val="lt1"/>
                </a:solidFill>
              </a:ln>
            </c:spPr>
          </c:dPt>
          <c:dPt>
            <c:idx val="2"/>
            <c:spPr bwMode="auto">
              <a:prstGeom prst="rect">
                <a:avLst/>
              </a:prstGeom>
              <a:solidFill>
                <a:schemeClr val="accent3"/>
              </a:solidFill>
              <a:ln w="19050">
                <a:solidFill>
                  <a:schemeClr val="lt1"/>
                </a:solidFill>
              </a:ln>
            </c:spPr>
          </c:dPt>
          <c:dPt>
            <c:idx val="3"/>
            <c:spPr bwMode="auto">
              <a:prstGeom prst="rect">
                <a:avLst/>
              </a:prstGeom>
              <a:solidFill>
                <a:schemeClr val="accent4"/>
              </a:solidFill>
              <a:ln w="19050">
                <a:solidFill>
                  <a:schemeClr val="lt1"/>
                </a:solidFill>
              </a:ln>
            </c:spPr>
          </c:dPt>
          <c:dPt>
            <c:idx val="4"/>
            <c:spPr bwMode="auto">
              <a:prstGeom prst="rect">
                <a:avLst/>
              </a:prstGeom>
              <a:solidFill>
                <a:schemeClr val="accent5"/>
              </a:solidFill>
              <a:ln w="19050">
                <a:solidFill>
                  <a:schemeClr val="lt1"/>
                </a:solidFill>
              </a:ln>
            </c:spPr>
          </c:dPt>
          <c:dPt>
            <c:idx val="5"/>
            <c:spPr bwMode="auto">
              <a:prstGeom prst="rect">
                <a:avLst/>
              </a:prstGeom>
              <a:solidFill>
                <a:schemeClr val="accent6"/>
              </a:solidFill>
              <a:ln w="19050">
                <a:solidFill>
                  <a:schemeClr val="lt1"/>
                </a:solidFill>
              </a:ln>
            </c:spPr>
          </c:dPt>
          <c:dPt>
            <c:idx val="6"/>
            <c:spPr bwMode="auto">
              <a:prstGeom prst="rect">
                <a:avLst/>
              </a:prstGeom>
              <a:solidFill>
                <a:schemeClr val="accent1">
                  <a:lumMod val="60000"/>
                </a:schemeClr>
              </a:solidFill>
              <a:ln w="19050">
                <a:solidFill>
                  <a:schemeClr val="lt1"/>
                </a:solidFill>
              </a:ln>
            </c:spPr>
          </c:dPt>
          <c:dPt>
            <c:idx val="7"/>
            <c:spPr bwMode="auto">
              <a:prstGeom prst="rect">
                <a:avLst/>
              </a:prstGeom>
              <a:solidFill>
                <a:schemeClr val="accent2">
                  <a:lumMod val="60000"/>
                </a:schemeClr>
              </a:solidFill>
              <a:ln w="19050">
                <a:solidFill>
                  <a:schemeClr val="lt1"/>
                </a:solidFill>
              </a:ln>
            </c:spPr>
          </c:dPt>
          <c:dPt>
            <c:idx val="8"/>
            <c:spPr bwMode="auto">
              <a:prstGeom prst="rect">
                <a:avLst/>
              </a:prstGeom>
              <a:solidFill>
                <a:schemeClr val="accent3">
                  <a:lumMod val="60000"/>
                </a:schemeClr>
              </a:solidFill>
              <a:ln w="19050">
                <a:solidFill>
                  <a:schemeClr val="lt1"/>
                </a:solidFill>
              </a:ln>
            </c:spPr>
          </c:dPt>
          <c:dPt>
            <c:idx val="9"/>
            <c:spPr bwMode="auto">
              <a:prstGeom prst="rect">
                <a:avLst/>
              </a:prstGeom>
              <a:solidFill>
                <a:schemeClr val="accent4">
                  <a:lumMod val="60000"/>
                </a:schemeClr>
              </a:solidFill>
              <a:ln w="19050">
                <a:solidFill>
                  <a:schemeClr val="lt1"/>
                </a:solidFill>
              </a:ln>
            </c:spPr>
          </c:dPt>
          <c:dPt>
            <c:idx val="10"/>
            <c:spPr bwMode="auto">
              <a:prstGeom prst="rect">
                <a:avLst/>
              </a:prstGeom>
              <a:solidFill>
                <a:schemeClr val="accent5">
                  <a:lumMod val="60000"/>
                </a:schemeClr>
              </a:solidFill>
              <a:ln w="19050">
                <a:solidFill>
                  <a:schemeClr val="lt1"/>
                </a:solidFill>
              </a:ln>
            </c:spPr>
          </c:dPt>
          <c:dPt>
            <c:idx val="11"/>
            <c:spPr bwMode="auto">
              <a:prstGeom prst="rect">
                <a:avLst/>
              </a:prstGeom>
              <a:solidFill>
                <a:schemeClr val="accent6">
                  <a:lumMod val="60000"/>
                </a:schemeClr>
              </a:solidFill>
              <a:ln w="19050">
                <a:solidFill>
                  <a:schemeClr val="lt1"/>
                </a:solidFill>
              </a:ln>
            </c:spPr>
          </c:dPt>
          <c:dPt>
            <c:idx val="12"/>
            <c:spPr bwMode="auto">
              <a:prstGeom prst="rect">
                <a:avLst/>
              </a:prstGeom>
              <a:solidFill>
                <a:schemeClr val="accent1">
                  <a:lumMod val="80000"/>
                  <a:lumOff val="20000"/>
                </a:schemeClr>
              </a:solidFill>
              <a:ln w="19050">
                <a:solidFill>
                  <a:schemeClr val="lt1"/>
                </a:solidFill>
              </a:ln>
            </c:spPr>
          </c:dPt>
          <c:dPt>
            <c:idx val="13"/>
            <c:spPr bwMode="auto">
              <a:prstGeom prst="rect">
                <a:avLst/>
              </a:prstGeom>
              <a:solidFill>
                <a:schemeClr val="accent2">
                  <a:lumMod val="80000"/>
                  <a:lumOff val="20000"/>
                </a:schemeClr>
              </a:solidFill>
              <a:ln w="19050">
                <a:solidFill>
                  <a:schemeClr val="lt1"/>
                </a:solidFill>
              </a:ln>
            </c:spPr>
          </c:dPt>
          <c:dPt>
            <c:idx val="14"/>
            <c:spPr bwMode="auto">
              <a:prstGeom prst="rect">
                <a:avLst/>
              </a:prstGeom>
              <a:solidFill>
                <a:schemeClr val="accent3">
                  <a:lumMod val="80000"/>
                  <a:lumOff val="20000"/>
                </a:schemeClr>
              </a:solidFill>
              <a:ln w="19050">
                <a:solidFill>
                  <a:schemeClr val="lt1"/>
                </a:solidFill>
              </a:ln>
            </c:spPr>
          </c:dPt>
          <c:dPt>
            <c:idx val="15"/>
            <c:spPr bwMode="auto">
              <a:prstGeom prst="rect">
                <a:avLst/>
              </a:prstGeom>
              <a:solidFill>
                <a:schemeClr val="accent4">
                  <a:lumMod val="80000"/>
                  <a:lumOff val="20000"/>
                </a:schemeClr>
              </a:solidFill>
              <a:ln w="19050">
                <a:solidFill>
                  <a:schemeClr val="lt1"/>
                </a:solidFill>
              </a:ln>
            </c:spPr>
          </c:dPt>
          <c:dPt>
            <c:idx val="16"/>
            <c:spPr bwMode="auto">
              <a:prstGeom prst="rect">
                <a:avLst/>
              </a:prstGeom>
              <a:solidFill>
                <a:schemeClr val="accent5">
                  <a:lumMod val="80000"/>
                  <a:lumOff val="20000"/>
                </a:schemeClr>
              </a:solidFill>
              <a:ln w="19050">
                <a:solidFill>
                  <a:schemeClr val="lt1"/>
                </a:solidFill>
              </a:ln>
            </c:spPr>
          </c:dPt>
          <c:dPt>
            <c:idx val="17"/>
            <c:spPr bwMode="auto">
              <a:prstGeom prst="rect">
                <a:avLst/>
              </a:prstGeom>
              <a:solidFill>
                <a:schemeClr val="accent6">
                  <a:lumMod val="80000"/>
                  <a:lumOff val="20000"/>
                </a:schemeClr>
              </a:solidFill>
              <a:ln w="19050">
                <a:solidFill>
                  <a:schemeClr val="lt1"/>
                </a:solidFill>
              </a:ln>
            </c:spPr>
          </c:dPt>
          <c:dPt>
            <c:idx val="18"/>
            <c:spPr bwMode="auto">
              <a:prstGeom prst="rect">
                <a:avLst/>
              </a:prstGeom>
              <a:solidFill>
                <a:schemeClr val="accent1">
                  <a:lumMod val="80000"/>
                </a:schemeClr>
              </a:solidFill>
              <a:ln w="19050">
                <a:solidFill>
                  <a:schemeClr val="lt1"/>
                </a:solidFill>
              </a:ln>
            </c:spPr>
          </c:dPt>
          <c:dPt>
            <c:idx val="19"/>
            <c:spPr bwMode="auto">
              <a:prstGeom prst="rect">
                <a:avLst/>
              </a:prstGeom>
              <a:solidFill>
                <a:schemeClr val="accent2">
                  <a:lumMod val="80000"/>
                </a:schemeClr>
              </a:solidFill>
              <a:ln w="19050">
                <a:solidFill>
                  <a:schemeClr val="lt1"/>
                </a:solidFill>
              </a:ln>
            </c:spPr>
          </c:dPt>
          <c:dPt>
            <c:idx val="20"/>
            <c:spPr bwMode="auto">
              <a:prstGeom prst="rect">
                <a:avLst/>
              </a:prstGeom>
              <a:solidFill>
                <a:schemeClr val="accent3">
                  <a:lumMod val="80000"/>
                </a:schemeClr>
              </a:solidFill>
              <a:ln w="19050">
                <a:solidFill>
                  <a:schemeClr val="lt1"/>
                </a:solidFill>
              </a:ln>
            </c:spPr>
          </c:dPt>
          <c:dPt>
            <c:idx val="21"/>
            <c:spPr bwMode="auto">
              <a:prstGeom prst="rect">
                <a:avLst/>
              </a:prstGeom>
              <a:solidFill>
                <a:schemeClr val="accent4">
                  <a:lumMod val="80000"/>
                </a:schemeClr>
              </a:solidFill>
              <a:ln w="19050">
                <a:solidFill>
                  <a:schemeClr val="lt1"/>
                </a:solidFill>
              </a:ln>
            </c:spPr>
          </c:dPt>
          <c:dPt>
            <c:idx val="22"/>
            <c:spPr bwMode="auto">
              <a:prstGeom prst="rect">
                <a:avLst/>
              </a:prstGeom>
              <a:solidFill>
                <a:schemeClr val="accent5">
                  <a:lumMod val="80000"/>
                </a:schemeClr>
              </a:solidFill>
              <a:ln w="19050">
                <a:solidFill>
                  <a:schemeClr val="lt1"/>
                </a:solidFill>
              </a:ln>
            </c:spPr>
          </c:dPt>
          <c:dPt>
            <c:idx val="23"/>
            <c:spPr bwMode="auto">
              <a:prstGeom prst="rect">
                <a:avLst/>
              </a:prstGeom>
              <a:solidFill>
                <a:schemeClr val="accent6">
                  <a:lumMod val="80000"/>
                </a:schemeClr>
              </a:solidFill>
              <a:ln w="19050">
                <a:solidFill>
                  <a:schemeClr val="lt1"/>
                </a:solidFill>
              </a:ln>
            </c:spPr>
          </c:dPt>
          <c:dPt>
            <c:idx val="24"/>
            <c:spPr bwMode="auto">
              <a:prstGeom prst="rect">
                <a:avLst/>
              </a:prstGeom>
              <a:solidFill>
                <a:schemeClr val="accent1">
                  <a:lumMod val="60000"/>
                  <a:lumOff val="40000"/>
                </a:schemeClr>
              </a:solidFill>
              <a:ln w="19050">
                <a:solidFill>
                  <a:schemeClr val="lt1"/>
                </a:solidFill>
              </a:ln>
            </c:spPr>
          </c:dPt>
          <c:dPt>
            <c:idx val="25"/>
            <c:spPr bwMode="auto">
              <a:prstGeom prst="rect">
                <a:avLst/>
              </a:prstGeom>
              <a:solidFill>
                <a:schemeClr val="accent2">
                  <a:lumMod val="60000"/>
                  <a:lumOff val="40000"/>
                </a:schemeClr>
              </a:solidFill>
              <a:ln w="19050">
                <a:solidFill>
                  <a:schemeClr val="lt1"/>
                </a:solidFill>
              </a:ln>
            </c:spPr>
          </c:dPt>
          <c:dPt>
            <c:idx val="26"/>
            <c:spPr bwMode="auto">
              <a:prstGeom prst="rect">
                <a:avLst/>
              </a:prstGeom>
              <a:solidFill>
                <a:schemeClr val="accent3">
                  <a:lumMod val="60000"/>
                  <a:lumOff val="40000"/>
                </a:schemeClr>
              </a:solidFill>
              <a:ln w="19050">
                <a:solidFill>
                  <a:schemeClr val="lt1"/>
                </a:solidFill>
              </a:ln>
            </c:spPr>
          </c:dPt>
          <c:dPt>
            <c:idx val="27"/>
            <c:spPr bwMode="auto">
              <a:prstGeom prst="rect">
                <a:avLst/>
              </a:prstGeom>
              <a:solidFill>
                <a:schemeClr val="accent4">
                  <a:lumMod val="60000"/>
                  <a:lumOff val="40000"/>
                </a:schemeClr>
              </a:solidFill>
              <a:ln w="19050">
                <a:solidFill>
                  <a:schemeClr val="lt1"/>
                </a:solidFill>
              </a:ln>
            </c:spPr>
          </c:dPt>
          <c:dPt>
            <c:idx val="28"/>
            <c:spPr bwMode="auto">
              <a:prstGeom prst="rect">
                <a:avLst/>
              </a:prstGeom>
              <a:solidFill>
                <a:schemeClr val="accent5">
                  <a:lumMod val="60000"/>
                  <a:lumOff val="40000"/>
                </a:schemeClr>
              </a:solidFill>
              <a:ln w="19050">
                <a:solidFill>
                  <a:schemeClr val="lt1"/>
                </a:solidFill>
              </a:ln>
            </c:spPr>
          </c:dPt>
          <c:dPt>
            <c:idx val="29"/>
            <c:spPr bwMode="auto">
              <a:prstGeom prst="rect">
                <a:avLst/>
              </a:prstGeom>
              <a:solidFill>
                <a:schemeClr val="accent6">
                  <a:lumMod val="60000"/>
                  <a:lumOff val="40000"/>
                </a:schemeClr>
              </a:solidFill>
              <a:ln w="19050">
                <a:solidFill>
                  <a:schemeClr val="lt1"/>
                </a:solidFill>
              </a:ln>
            </c:spPr>
          </c:dPt>
          <c:dPt>
            <c:idx val="30"/>
            <c:spPr bwMode="auto">
              <a:prstGeom prst="rect">
                <a:avLst/>
              </a:prstGeom>
              <a:solidFill>
                <a:schemeClr val="accent1">
                  <a:lumMod val="50000"/>
                </a:schemeClr>
              </a:solidFill>
              <a:ln w="19050">
                <a:solidFill>
                  <a:schemeClr val="lt1"/>
                </a:solidFill>
              </a:ln>
            </c:spPr>
          </c:dPt>
          <c:dPt>
            <c:idx val="31"/>
            <c:spPr bwMode="auto">
              <a:prstGeom prst="rect">
                <a:avLst/>
              </a:prstGeom>
              <a:solidFill>
                <a:schemeClr val="accent2">
                  <a:lumMod val="50000"/>
                </a:schemeClr>
              </a:solidFill>
              <a:ln w="19050">
                <a:solidFill>
                  <a:schemeClr val="lt1"/>
                </a:solidFill>
              </a:ln>
            </c:spPr>
          </c:dPt>
          <c:dPt>
            <c:idx val="32"/>
            <c:spPr bwMode="auto">
              <a:prstGeom prst="rect">
                <a:avLst/>
              </a:prstGeom>
              <a:solidFill>
                <a:schemeClr val="accent3">
                  <a:lumMod val="50000"/>
                </a:schemeClr>
              </a:solidFill>
              <a:ln w="19050">
                <a:solidFill>
                  <a:schemeClr val="lt1"/>
                </a:solidFill>
              </a:ln>
            </c:spPr>
          </c:dPt>
          <c:dPt>
            <c:idx val="33"/>
            <c:spPr bwMode="auto">
              <a:prstGeom prst="rect">
                <a:avLst/>
              </a:prstGeom>
              <a:solidFill>
                <a:schemeClr val="accent4">
                  <a:lumMod val="50000"/>
                </a:schemeClr>
              </a:solidFill>
              <a:ln w="19050">
                <a:solidFill>
                  <a:schemeClr val="lt1"/>
                </a:solidFill>
              </a:ln>
            </c:spPr>
          </c:dPt>
          <c:dPt>
            <c:idx val="34"/>
            <c:spPr bwMode="auto">
              <a:prstGeom prst="rect">
                <a:avLst/>
              </a:prstGeom>
              <a:solidFill>
                <a:schemeClr val="accent5">
                  <a:lumMod val="50000"/>
                </a:schemeClr>
              </a:solidFill>
              <a:ln w="19050">
                <a:solidFill>
                  <a:schemeClr val="lt1"/>
                </a:solidFill>
              </a:ln>
            </c:spPr>
          </c:dPt>
          <c:dPt>
            <c:idx val="35"/>
            <c:spPr bwMode="auto">
              <a:prstGeom prst="rect">
                <a:avLst/>
              </a:prstGeom>
              <a:solidFill>
                <a:schemeClr val="accent6">
                  <a:lumMod val="50000"/>
                </a:schemeClr>
              </a:solidFill>
              <a:ln w="19050">
                <a:solidFill>
                  <a:schemeClr val="lt1"/>
                </a:solidFill>
              </a:ln>
            </c:spPr>
          </c:dPt>
          <c:dPt>
            <c:idx val="36"/>
            <c:spPr bwMode="auto">
              <a:prstGeom prst="rect">
                <a:avLst/>
              </a:prstGeom>
              <a:solidFill>
                <a:schemeClr val="accent1">
                  <a:lumMod val="70000"/>
                  <a:lumOff val="30000"/>
                </a:schemeClr>
              </a:solidFill>
              <a:ln w="19050">
                <a:solidFill>
                  <a:schemeClr val="lt1"/>
                </a:solidFill>
              </a:ln>
            </c:spPr>
          </c:dPt>
          <c:dPt>
            <c:idx val="37"/>
            <c:spPr bwMode="auto">
              <a:prstGeom prst="rect">
                <a:avLst/>
              </a:prstGeom>
              <a:solidFill>
                <a:schemeClr val="accent2">
                  <a:lumMod val="70000"/>
                  <a:lumOff val="30000"/>
                </a:schemeClr>
              </a:solidFill>
              <a:ln w="19050">
                <a:solidFill>
                  <a:schemeClr val="lt1"/>
                </a:solidFill>
              </a:ln>
            </c:spPr>
          </c:dPt>
          <c:dPt>
            <c:idx val="38"/>
            <c:spPr bwMode="auto">
              <a:prstGeom prst="rect">
                <a:avLst/>
              </a:prstGeom>
              <a:solidFill>
                <a:schemeClr val="accent3">
                  <a:lumMod val="70000"/>
                  <a:lumOff val="30000"/>
                </a:schemeClr>
              </a:solidFill>
              <a:ln w="19050">
                <a:solidFill>
                  <a:schemeClr val="lt1"/>
                </a:solidFill>
              </a:ln>
            </c:spPr>
          </c:dPt>
          <c:dLbls>
            <c:dLbl>
              <c:idx val="0"/>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4"/>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5"/>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6"/>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7"/>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8"/>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9"/>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0"/>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1"/>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2"/>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3"/>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4"/>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5"/>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6"/>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7"/>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8"/>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9"/>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0"/>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1"/>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2"/>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3"/>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4"/>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5"/>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6"/>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7"/>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8"/>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9"/>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0"/>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1"/>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2"/>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3"/>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4"/>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5"/>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6"/>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7"/>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8"/>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Pos val="outEnd"/>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'profile sg3-t PVC'!$AD$2:$AD$40</c:f>
            </c:strRef>
          </c:cat>
          <c:val>
            <c:numRef>
              <c:f>'profile sg3-t PVC'!$AE$2:$AE$40</c:f>
              <c:numCache>
                <c:formatCode>0.000</c:formatCode>
                <c:ptCount val="39"/>
                <c:pt idx="0">
                  <c:v>0</c:v>
                </c:pt>
                <c:pt idx="1">
                  <c:v>0</c:v>
                </c:pt>
                <c:pt idx="2">
                  <c:v>0.242</c:v>
                </c:pt>
                <c:pt idx="3">
                  <c:v>0</c:v>
                </c:pt>
                <c:pt idx="4">
                  <c:v>0</c:v>
                </c:pt>
                <c:pt idx="5">
                  <c:v>0.05</c:v>
                </c:pt>
                <c:pt idx="6">
                  <c:v>0.001</c:v>
                </c:pt>
                <c:pt idx="7">
                  <c:v>0.003</c:v>
                </c:pt>
                <c:pt idx="8">
                  <c:v>0.016</c:v>
                </c:pt>
                <c:pt idx="9">
                  <c:v>2.3</c:v>
                </c:pt>
                <c:pt idx="10">
                  <c:v>0.018</c:v>
                </c:pt>
                <c:pt idx="11">
                  <c:v>0.002</c:v>
                </c:pt>
                <c:pt idx="12">
                  <c:v>0.023</c:v>
                </c:pt>
                <c:pt idx="13">
                  <c:v>0.003</c:v>
                </c:pt>
                <c:pt idx="14">
                  <c:v>0.383</c:v>
                </c:pt>
                <c:pt idx="15">
                  <c:v>0.002</c:v>
                </c:pt>
                <c:pt idx="16">
                  <c:v>0.212</c:v>
                </c:pt>
                <c:pt idx="17">
                  <c:v>0</c:v>
                </c:pt>
                <c:pt idx="18">
                  <c:v>0.001</c:v>
                </c:pt>
                <c:pt idx="19">
                  <c:v>0.002</c:v>
                </c:pt>
                <c:pt idx="20">
                  <c:v>0.008</c:v>
                </c:pt>
                <c:pt idx="21">
                  <c:v>0</c:v>
                </c:pt>
                <c:pt idx="22">
                  <c:v>0</c:v>
                </c:pt>
                <c:pt idx="23">
                  <c:v>0</c:v>
                </c:pt>
                <c:pt idx="24">
                  <c:v>0</c:v>
                </c:pt>
                <c:pt idx="25">
                  <c:v>0.001</c:v>
                </c:pt>
                <c:pt idx="26">
                  <c:v>0.004</c:v>
                </c:pt>
                <c:pt idx="27">
                  <c:v>0.001</c:v>
                </c:pt>
                <c:pt idx="28">
                  <c:v>0.001</c:v>
                </c:pt>
                <c:pt idx="29">
                  <c:v>0.001</c:v>
                </c:pt>
                <c:pt idx="30">
                  <c:v>0</c:v>
                </c:pt>
                <c:pt idx="31">
                  <c:v>0.024</c:v>
                </c:pt>
                <c:pt idx="32">
                  <c:v>0.015</c:v>
                </c:pt>
                <c:pt idx="33">
                  <c:v>0.001</c:v>
                </c:pt>
                <c:pt idx="34">
                  <c:v>0.001</c:v>
                </c:pt>
                <c:pt idx="35">
                  <c:v>0</c:v>
                </c:pt>
                <c:pt idx="36">
                  <c:v>0.002</c:v>
                </c:pt>
                <c:pt idx="37">
                  <c:v>0.153</c:v>
                </c:pt>
                <c:pt idx="38">
                  <c:v>0</c:v>
                </c:pt>
              </c:numCache>
            </c:numRef>
          </c:val>
        </c:ser>
        <c:dLbls>
          <c:dLblPos val="outEnd"/>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firstSliceAng val="0"/>
      </c:pieChart>
      <c:spPr bwMode="auto">
        <a:prstGeom prst="rect">
          <a:avLst/>
        </a:prstGeom>
        <a:noFill/>
        <a:ln>
          <a:noFill/>
        </a:ln>
      </c:spPr>
    </c:plotArea>
    <c:plotVisOnly val="1"/>
    <c:dispBlanksAs val="gap"/>
    <c:showDLblsOverMax val="0"/>
  </c:chart>
  <c:spPr bwMode="auto">
    <a:xfrm rot="0" flipH="0" flipV="0">
      <a:off x="31956374" y="185737"/>
      <a:ext cx="10972800" cy="7062787"/>
    </a:xfrm>
    <a:prstGeom prst="rect">
      <a:avLst/>
    </a:prstGeom>
    <a:solidFill>
      <a:schemeClr val="bg1"/>
    </a:solidFill>
    <a:ln w="9525" cap="flat" cmpd="sng" algn="ctr">
      <a:solidFill>
        <a:schemeClr val="tx1">
          <a:lumMod val="15000"/>
          <a:lumOff val="85000"/>
        </a:schemeClr>
      </a:solidFill>
      <a:round/>
    </a:ln>
  </c:spPr>
  <c:txPr>
    <a:bodyPr/>
    <a:p>
      <a:pPr>
        <a:defRPr sz="9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autoTitleDeleted val="0"/>
    <c:plotArea>
      <c:layout>
        <c:manualLayout/>
      </c:layout>
      <c:pieChart>
        <c:varyColors val="1"/>
        <c:ser>
          <c:idx val="0"/>
          <c:order val="0"/>
          <c:dPt>
            <c:idx val="0"/>
            <c:spPr bwMode="auto">
              <a:prstGeom prst="rect">
                <a:avLst/>
              </a:prstGeom>
              <a:solidFill>
                <a:schemeClr val="accent1"/>
              </a:solidFill>
              <a:ln w="19050">
                <a:solidFill>
                  <a:schemeClr val="lt1"/>
                </a:solidFill>
              </a:ln>
            </c:spPr>
          </c:dPt>
          <c:dPt>
            <c:idx val="1"/>
            <c:spPr bwMode="auto">
              <a:prstGeom prst="rect">
                <a:avLst/>
              </a:prstGeom>
              <a:solidFill>
                <a:schemeClr val="accent2"/>
              </a:solidFill>
              <a:ln w="19050">
                <a:solidFill>
                  <a:schemeClr val="lt1"/>
                </a:solidFill>
              </a:ln>
            </c:spPr>
          </c:dPt>
          <c:dPt>
            <c:idx val="2"/>
            <c:spPr bwMode="auto">
              <a:prstGeom prst="rect">
                <a:avLst/>
              </a:prstGeom>
              <a:solidFill>
                <a:schemeClr val="accent3"/>
              </a:solidFill>
              <a:ln w="19050">
                <a:solidFill>
                  <a:schemeClr val="lt1"/>
                </a:solidFill>
              </a:ln>
            </c:spPr>
          </c:dPt>
          <c:dPt>
            <c:idx val="3"/>
            <c:spPr bwMode="auto">
              <a:prstGeom prst="rect">
                <a:avLst/>
              </a:prstGeom>
              <a:solidFill>
                <a:schemeClr val="accent4"/>
              </a:solidFill>
              <a:ln w="19050">
                <a:solidFill>
                  <a:schemeClr val="lt1"/>
                </a:solidFill>
              </a:ln>
            </c:spPr>
          </c:dPt>
          <c:dPt>
            <c:idx val="4"/>
            <c:spPr bwMode="auto">
              <a:prstGeom prst="rect">
                <a:avLst/>
              </a:prstGeom>
              <a:solidFill>
                <a:schemeClr val="accent5"/>
              </a:solidFill>
              <a:ln w="19050">
                <a:solidFill>
                  <a:schemeClr val="lt1"/>
                </a:solidFill>
              </a:ln>
            </c:spPr>
          </c:dPt>
          <c:dPt>
            <c:idx val="5"/>
            <c:spPr bwMode="auto">
              <a:prstGeom prst="rect">
                <a:avLst/>
              </a:prstGeom>
              <a:solidFill>
                <a:schemeClr val="accent6"/>
              </a:solidFill>
              <a:ln w="19050">
                <a:solidFill>
                  <a:schemeClr val="lt1"/>
                </a:solidFill>
              </a:ln>
            </c:spPr>
          </c:dPt>
          <c:dPt>
            <c:idx val="6"/>
            <c:spPr bwMode="auto">
              <a:prstGeom prst="rect">
                <a:avLst/>
              </a:prstGeom>
              <a:solidFill>
                <a:schemeClr val="accent1">
                  <a:lumMod val="60000"/>
                </a:schemeClr>
              </a:solidFill>
              <a:ln w="19050">
                <a:solidFill>
                  <a:schemeClr val="lt1"/>
                </a:solidFill>
              </a:ln>
            </c:spPr>
          </c:dPt>
          <c:dPt>
            <c:idx val="7"/>
            <c:spPr bwMode="auto">
              <a:prstGeom prst="rect">
                <a:avLst/>
              </a:prstGeom>
              <a:solidFill>
                <a:schemeClr val="accent2">
                  <a:lumMod val="60000"/>
                </a:schemeClr>
              </a:solidFill>
              <a:ln w="19050">
                <a:solidFill>
                  <a:schemeClr val="lt1"/>
                </a:solidFill>
              </a:ln>
            </c:spPr>
          </c:dPt>
          <c:dPt>
            <c:idx val="8"/>
            <c:spPr bwMode="auto">
              <a:prstGeom prst="rect">
                <a:avLst/>
              </a:prstGeom>
              <a:solidFill>
                <a:schemeClr val="accent3">
                  <a:lumMod val="60000"/>
                </a:schemeClr>
              </a:solidFill>
              <a:ln w="19050">
                <a:solidFill>
                  <a:schemeClr val="lt1"/>
                </a:solidFill>
              </a:ln>
            </c:spPr>
          </c:dPt>
          <c:dPt>
            <c:idx val="9"/>
            <c:spPr bwMode="auto">
              <a:prstGeom prst="rect">
                <a:avLst/>
              </a:prstGeom>
              <a:solidFill>
                <a:schemeClr val="accent4">
                  <a:lumMod val="60000"/>
                </a:schemeClr>
              </a:solidFill>
              <a:ln w="19050">
                <a:solidFill>
                  <a:schemeClr val="lt1"/>
                </a:solidFill>
              </a:ln>
            </c:spPr>
          </c:dPt>
          <c:dPt>
            <c:idx val="10"/>
            <c:spPr bwMode="auto">
              <a:prstGeom prst="rect">
                <a:avLst/>
              </a:prstGeom>
              <a:solidFill>
                <a:schemeClr val="accent5">
                  <a:lumMod val="60000"/>
                </a:schemeClr>
              </a:solidFill>
              <a:ln w="19050">
                <a:solidFill>
                  <a:schemeClr val="lt1"/>
                </a:solidFill>
              </a:ln>
            </c:spPr>
          </c:dPt>
          <c:dPt>
            <c:idx val="11"/>
            <c:spPr bwMode="auto">
              <a:prstGeom prst="rect">
                <a:avLst/>
              </a:prstGeom>
              <a:solidFill>
                <a:schemeClr val="accent6">
                  <a:lumMod val="60000"/>
                </a:schemeClr>
              </a:solidFill>
              <a:ln w="19050">
                <a:solidFill>
                  <a:schemeClr val="lt1"/>
                </a:solidFill>
              </a:ln>
            </c:spPr>
          </c:dPt>
          <c:dPt>
            <c:idx val="12"/>
            <c:spPr bwMode="auto">
              <a:prstGeom prst="rect">
                <a:avLst/>
              </a:prstGeom>
              <a:solidFill>
                <a:schemeClr val="accent1">
                  <a:lumMod val="80000"/>
                  <a:lumOff val="20000"/>
                </a:schemeClr>
              </a:solidFill>
              <a:ln w="19050">
                <a:solidFill>
                  <a:schemeClr val="lt1"/>
                </a:solidFill>
              </a:ln>
            </c:spPr>
          </c:dPt>
          <c:dPt>
            <c:idx val="13"/>
            <c:spPr bwMode="auto">
              <a:prstGeom prst="rect">
                <a:avLst/>
              </a:prstGeom>
              <a:solidFill>
                <a:schemeClr val="accent2">
                  <a:lumMod val="80000"/>
                  <a:lumOff val="20000"/>
                </a:schemeClr>
              </a:solidFill>
              <a:ln w="19050">
                <a:solidFill>
                  <a:schemeClr val="lt1"/>
                </a:solidFill>
              </a:ln>
            </c:spPr>
          </c:dPt>
          <c:dPt>
            <c:idx val="14"/>
            <c:spPr bwMode="auto">
              <a:prstGeom prst="rect">
                <a:avLst/>
              </a:prstGeom>
              <a:solidFill>
                <a:schemeClr val="accent3">
                  <a:lumMod val="80000"/>
                  <a:lumOff val="20000"/>
                </a:schemeClr>
              </a:solidFill>
              <a:ln w="19050">
                <a:solidFill>
                  <a:schemeClr val="lt1"/>
                </a:solidFill>
              </a:ln>
            </c:spPr>
          </c:dPt>
          <c:dPt>
            <c:idx val="15"/>
            <c:spPr bwMode="auto">
              <a:prstGeom prst="rect">
                <a:avLst/>
              </a:prstGeom>
              <a:solidFill>
                <a:schemeClr val="accent4">
                  <a:lumMod val="80000"/>
                  <a:lumOff val="20000"/>
                </a:schemeClr>
              </a:solidFill>
              <a:ln w="19050">
                <a:solidFill>
                  <a:schemeClr val="lt1"/>
                </a:solidFill>
              </a:ln>
            </c:spPr>
          </c:dPt>
          <c:dPt>
            <c:idx val="16"/>
            <c:spPr bwMode="auto">
              <a:prstGeom prst="rect">
                <a:avLst/>
              </a:prstGeom>
              <a:solidFill>
                <a:schemeClr val="accent5">
                  <a:lumMod val="80000"/>
                  <a:lumOff val="20000"/>
                </a:schemeClr>
              </a:solidFill>
              <a:ln w="19050">
                <a:solidFill>
                  <a:schemeClr val="lt1"/>
                </a:solidFill>
              </a:ln>
            </c:spPr>
          </c:dPt>
          <c:dPt>
            <c:idx val="17"/>
            <c:spPr bwMode="auto">
              <a:prstGeom prst="rect">
                <a:avLst/>
              </a:prstGeom>
              <a:solidFill>
                <a:schemeClr val="accent6">
                  <a:lumMod val="80000"/>
                  <a:lumOff val="20000"/>
                </a:schemeClr>
              </a:solidFill>
              <a:ln w="19050">
                <a:solidFill>
                  <a:schemeClr val="lt1"/>
                </a:solidFill>
              </a:ln>
            </c:spPr>
          </c:dPt>
          <c:dPt>
            <c:idx val="18"/>
            <c:spPr bwMode="auto">
              <a:prstGeom prst="rect">
                <a:avLst/>
              </a:prstGeom>
              <a:solidFill>
                <a:schemeClr val="accent1">
                  <a:lumMod val="80000"/>
                </a:schemeClr>
              </a:solidFill>
              <a:ln w="19050">
                <a:solidFill>
                  <a:schemeClr val="lt1"/>
                </a:solidFill>
              </a:ln>
            </c:spPr>
          </c:dPt>
          <c:dPt>
            <c:idx val="19"/>
            <c:spPr bwMode="auto">
              <a:prstGeom prst="rect">
                <a:avLst/>
              </a:prstGeom>
              <a:solidFill>
                <a:schemeClr val="accent2">
                  <a:lumMod val="80000"/>
                </a:schemeClr>
              </a:solidFill>
              <a:ln w="19050">
                <a:solidFill>
                  <a:schemeClr val="lt1"/>
                </a:solidFill>
              </a:ln>
            </c:spPr>
          </c:dPt>
          <c:dPt>
            <c:idx val="20"/>
            <c:spPr bwMode="auto">
              <a:prstGeom prst="rect">
                <a:avLst/>
              </a:prstGeom>
              <a:solidFill>
                <a:schemeClr val="accent3">
                  <a:lumMod val="80000"/>
                </a:schemeClr>
              </a:solidFill>
              <a:ln w="19050">
                <a:solidFill>
                  <a:schemeClr val="lt1"/>
                </a:solidFill>
              </a:ln>
            </c:spPr>
          </c:dPt>
          <c:dPt>
            <c:idx val="21"/>
            <c:spPr bwMode="auto">
              <a:prstGeom prst="rect">
                <a:avLst/>
              </a:prstGeom>
              <a:solidFill>
                <a:schemeClr val="accent4">
                  <a:lumMod val="80000"/>
                </a:schemeClr>
              </a:solidFill>
              <a:ln w="19050">
                <a:solidFill>
                  <a:schemeClr val="lt1"/>
                </a:solidFill>
              </a:ln>
            </c:spPr>
          </c:dPt>
          <c:dPt>
            <c:idx val="22"/>
            <c:spPr bwMode="auto">
              <a:prstGeom prst="rect">
                <a:avLst/>
              </a:prstGeom>
              <a:solidFill>
                <a:schemeClr val="accent5">
                  <a:lumMod val="80000"/>
                </a:schemeClr>
              </a:solidFill>
              <a:ln w="19050">
                <a:solidFill>
                  <a:schemeClr val="lt1"/>
                </a:solidFill>
              </a:ln>
            </c:spPr>
          </c:dPt>
          <c:dPt>
            <c:idx val="23"/>
            <c:spPr bwMode="auto">
              <a:prstGeom prst="rect">
                <a:avLst/>
              </a:prstGeom>
              <a:solidFill>
                <a:schemeClr val="accent6">
                  <a:lumMod val="80000"/>
                </a:schemeClr>
              </a:solidFill>
              <a:ln w="19050">
                <a:solidFill>
                  <a:schemeClr val="lt1"/>
                </a:solidFill>
              </a:ln>
            </c:spPr>
          </c:dPt>
          <c:dPt>
            <c:idx val="24"/>
            <c:spPr bwMode="auto">
              <a:prstGeom prst="rect">
                <a:avLst/>
              </a:prstGeom>
              <a:solidFill>
                <a:schemeClr val="accent1">
                  <a:lumMod val="60000"/>
                  <a:lumOff val="40000"/>
                </a:schemeClr>
              </a:solidFill>
              <a:ln w="19050">
                <a:solidFill>
                  <a:schemeClr val="lt1"/>
                </a:solidFill>
              </a:ln>
            </c:spPr>
          </c:dPt>
          <c:dPt>
            <c:idx val="25"/>
            <c:spPr bwMode="auto">
              <a:prstGeom prst="rect">
                <a:avLst/>
              </a:prstGeom>
              <a:solidFill>
                <a:schemeClr val="accent2">
                  <a:lumMod val="60000"/>
                  <a:lumOff val="40000"/>
                </a:schemeClr>
              </a:solidFill>
              <a:ln w="19050">
                <a:solidFill>
                  <a:schemeClr val="lt1"/>
                </a:solidFill>
              </a:ln>
            </c:spPr>
          </c:dPt>
          <c:dPt>
            <c:idx val="26"/>
            <c:spPr bwMode="auto">
              <a:prstGeom prst="rect">
                <a:avLst/>
              </a:prstGeom>
              <a:solidFill>
                <a:schemeClr val="accent3">
                  <a:lumMod val="60000"/>
                  <a:lumOff val="40000"/>
                </a:schemeClr>
              </a:solidFill>
              <a:ln w="19050">
                <a:solidFill>
                  <a:schemeClr val="lt1"/>
                </a:solidFill>
              </a:ln>
            </c:spPr>
          </c:dPt>
          <c:dPt>
            <c:idx val="27"/>
            <c:spPr bwMode="auto">
              <a:prstGeom prst="rect">
                <a:avLst/>
              </a:prstGeom>
              <a:solidFill>
                <a:schemeClr val="accent4">
                  <a:lumMod val="60000"/>
                  <a:lumOff val="40000"/>
                </a:schemeClr>
              </a:solidFill>
              <a:ln w="19050">
                <a:solidFill>
                  <a:schemeClr val="lt1"/>
                </a:solidFill>
              </a:ln>
            </c:spPr>
          </c:dPt>
          <c:dPt>
            <c:idx val="28"/>
            <c:spPr bwMode="auto">
              <a:prstGeom prst="rect">
                <a:avLst/>
              </a:prstGeom>
              <a:solidFill>
                <a:schemeClr val="accent5">
                  <a:lumMod val="60000"/>
                  <a:lumOff val="40000"/>
                </a:schemeClr>
              </a:solidFill>
              <a:ln w="19050">
                <a:solidFill>
                  <a:schemeClr val="lt1"/>
                </a:solidFill>
              </a:ln>
            </c:spPr>
          </c:dPt>
          <c:dPt>
            <c:idx val="29"/>
            <c:spPr bwMode="auto">
              <a:prstGeom prst="rect">
                <a:avLst/>
              </a:prstGeom>
              <a:solidFill>
                <a:schemeClr val="accent6">
                  <a:lumMod val="60000"/>
                  <a:lumOff val="40000"/>
                </a:schemeClr>
              </a:solidFill>
              <a:ln w="19050">
                <a:solidFill>
                  <a:schemeClr val="lt1"/>
                </a:solidFill>
              </a:ln>
            </c:spPr>
          </c:dPt>
          <c:dPt>
            <c:idx val="30"/>
            <c:spPr bwMode="auto">
              <a:prstGeom prst="rect">
                <a:avLst/>
              </a:prstGeom>
              <a:solidFill>
                <a:schemeClr val="accent1">
                  <a:lumMod val="50000"/>
                </a:schemeClr>
              </a:solidFill>
              <a:ln w="19050">
                <a:solidFill>
                  <a:schemeClr val="lt1"/>
                </a:solidFill>
              </a:ln>
            </c:spPr>
          </c:dPt>
          <c:dPt>
            <c:idx val="31"/>
            <c:spPr bwMode="auto">
              <a:prstGeom prst="rect">
                <a:avLst/>
              </a:prstGeom>
              <a:solidFill>
                <a:schemeClr val="accent2">
                  <a:lumMod val="50000"/>
                </a:schemeClr>
              </a:solidFill>
              <a:ln w="19050">
                <a:solidFill>
                  <a:schemeClr val="lt1"/>
                </a:solidFill>
              </a:ln>
            </c:spPr>
          </c:dPt>
          <c:dPt>
            <c:idx val="32"/>
            <c:spPr bwMode="auto">
              <a:prstGeom prst="rect">
                <a:avLst/>
              </a:prstGeom>
              <a:solidFill>
                <a:schemeClr val="accent3">
                  <a:lumMod val="50000"/>
                </a:schemeClr>
              </a:solidFill>
              <a:ln w="19050">
                <a:solidFill>
                  <a:schemeClr val="lt1"/>
                </a:solidFill>
              </a:ln>
            </c:spPr>
          </c:dPt>
          <c:dPt>
            <c:idx val="33"/>
            <c:spPr bwMode="auto">
              <a:prstGeom prst="rect">
                <a:avLst/>
              </a:prstGeom>
              <a:solidFill>
                <a:schemeClr val="accent4">
                  <a:lumMod val="50000"/>
                </a:schemeClr>
              </a:solidFill>
              <a:ln w="19050">
                <a:solidFill>
                  <a:schemeClr val="lt1"/>
                </a:solidFill>
              </a:ln>
            </c:spPr>
          </c:dPt>
          <c:dPt>
            <c:idx val="34"/>
            <c:spPr bwMode="auto">
              <a:prstGeom prst="rect">
                <a:avLst/>
              </a:prstGeom>
              <a:solidFill>
                <a:schemeClr val="accent5">
                  <a:lumMod val="50000"/>
                </a:schemeClr>
              </a:solidFill>
              <a:ln w="19050">
                <a:solidFill>
                  <a:schemeClr val="lt1"/>
                </a:solidFill>
              </a:ln>
            </c:spPr>
          </c:dPt>
          <c:dPt>
            <c:idx val="35"/>
            <c:spPr bwMode="auto">
              <a:prstGeom prst="rect">
                <a:avLst/>
              </a:prstGeom>
              <a:solidFill>
                <a:schemeClr val="accent6">
                  <a:lumMod val="50000"/>
                </a:schemeClr>
              </a:solidFill>
              <a:ln w="19050">
                <a:solidFill>
                  <a:schemeClr val="lt1"/>
                </a:solidFill>
              </a:ln>
            </c:spPr>
          </c:dPt>
          <c:dPt>
            <c:idx val="36"/>
            <c:spPr bwMode="auto">
              <a:prstGeom prst="rect">
                <a:avLst/>
              </a:prstGeom>
              <a:solidFill>
                <a:schemeClr val="accent1">
                  <a:lumMod val="70000"/>
                  <a:lumOff val="30000"/>
                </a:schemeClr>
              </a:solidFill>
              <a:ln w="19050">
                <a:solidFill>
                  <a:schemeClr val="lt1"/>
                </a:solidFill>
              </a:ln>
            </c:spPr>
          </c:dPt>
          <c:dLbls>
            <c:dLbl>
              <c:idx val="0"/>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4"/>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5"/>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6"/>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7"/>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8"/>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9"/>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0"/>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1"/>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2"/>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3"/>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4"/>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5"/>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6"/>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7"/>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8"/>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9"/>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0"/>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1"/>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2"/>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3"/>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4"/>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5"/>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6"/>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7"/>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8"/>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9"/>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0"/>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1"/>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2"/>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3"/>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4"/>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5"/>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6"/>
              <c:dLblPos val="outEnd"/>
              <c:layout/>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Pos val="outEnd"/>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'profile sg3-t A770'!$AD$2:$AD$38</c:f>
            </c:strRef>
          </c:cat>
          <c:val>
            <c:numRef>
              <c:f>'profile sg3-t A770'!$AE$2:$AE$38</c:f>
              <c:numCache>
                <c:formatCode>0.000000</c:formatCode>
                <c:ptCount val="37"/>
                <c:pt idx="0">
                  <c:v>0</c:v>
                </c:pt>
                <c:pt idx="1">
                  <c:v>0.000003</c:v>
                </c:pt>
                <c:pt idx="2">
                  <c:v>0.003591</c:v>
                </c:pt>
                <c:pt idx="3">
                  <c:v>0.000149</c:v>
                </c:pt>
                <c:pt idx="4">
                  <c:v>0.000074</c:v>
                </c:pt>
                <c:pt idx="5">
                  <c:v>0.004823</c:v>
                </c:pt>
                <c:pt idx="6">
                  <c:v>0.000417</c:v>
                </c:pt>
                <c:pt idx="7">
                  <c:v>0.000297</c:v>
                </c:pt>
                <c:pt idx="8">
                  <c:v>0.002104</c:v>
                </c:pt>
                <c:pt idx="9">
                  <c:v>0.001328</c:v>
                </c:pt>
                <c:pt idx="10">
                  <c:v>0.0016020000000000001</c:v>
                </c:pt>
                <c:pt idx="11">
                  <c:v>0.000147</c:v>
                </c:pt>
                <c:pt idx="12">
                  <c:v>0.002227</c:v>
                </c:pt>
                <c:pt idx="13">
                  <c:v>0.00067</c:v>
                </c:pt>
                <c:pt idx="14">
                  <c:v>0.001035</c:v>
                </c:pt>
                <c:pt idx="15">
                  <c:v>0.00035299999999999996</c:v>
                </c:pt>
                <c:pt idx="16">
                  <c:v>0.00057</c:v>
                </c:pt>
                <c:pt idx="17">
                  <c:v>0.000062</c:v>
                </c:pt>
                <c:pt idx="18">
                  <c:v>0.000116</c:v>
                </c:pt>
                <c:pt idx="19">
                  <c:v>0.000116</c:v>
                </c:pt>
                <c:pt idx="20">
                  <c:v>0.002719</c:v>
                </c:pt>
                <c:pt idx="21">
                  <c:v>0.000068</c:v>
                </c:pt>
                <c:pt idx="22">
                  <c:v>0.000079</c:v>
                </c:pt>
                <c:pt idx="23">
                  <c:v>0.000062</c:v>
                </c:pt>
                <c:pt idx="24">
                  <c:v>0.00008</c:v>
                </c:pt>
                <c:pt idx="25">
                  <c:v>0.00038700000000000003</c:v>
                </c:pt>
                <c:pt idx="26">
                  <c:v>0.0014650000000000002</c:v>
                </c:pt>
                <c:pt idx="27">
                  <c:v>0.00016</c:v>
                </c:pt>
                <c:pt idx="28">
                  <c:v>0.000532</c:v>
                </c:pt>
                <c:pt idx="29">
                  <c:v>0.000147</c:v>
                </c:pt>
                <c:pt idx="30">
                  <c:v>0.000066</c:v>
                </c:pt>
                <c:pt idx="31">
                  <c:v>0.003721</c:v>
                </c:pt>
                <c:pt idx="32">
                  <c:v>0.0050810000000000004</c:v>
                </c:pt>
                <c:pt idx="33">
                  <c:v>0.00009900000000000001</c:v>
                </c:pt>
                <c:pt idx="34">
                  <c:v>0.000195</c:v>
                </c:pt>
                <c:pt idx="35">
                  <c:v>0.00068</c:v>
                </c:pt>
                <c:pt idx="36">
                  <c:v>0.009904999999999999</c:v>
                </c:pt>
              </c:numCache>
            </c:numRef>
          </c:val>
        </c:ser>
        <c:dLbls>
          <c:dLblPos val="outEnd"/>
          <c:separator xml:space="preserve"> </c:separator>
          <c:showBubbleSize val="0"/>
          <c:showCatName val="1"/>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firstSliceAng val="0"/>
      </c:pieChart>
      <c:spPr bwMode="auto">
        <a:prstGeom prst="rect">
          <a:avLst/>
        </a:prstGeom>
        <a:noFill/>
        <a:ln>
          <a:noFill/>
        </a:ln>
      </c:spPr>
    </c:plotArea>
    <c:plotVisOnly val="1"/>
    <c:dispBlanksAs val="gap"/>
    <c:showDLblsOverMax val="0"/>
  </c:chart>
  <c:spPr bwMode="auto">
    <a:xfrm rot="0" flipH="0" flipV="0">
      <a:off x="32061149" y="176212"/>
      <a:ext cx="10353674" cy="6662737"/>
    </a:xfrm>
    <a:prstGeom prst="rect">
      <a:avLst/>
    </a:prstGeom>
    <a:solidFill>
      <a:schemeClr val="bg1"/>
    </a:solidFill>
    <a:ln w="9525" cap="flat" cmpd="sng" algn="ctr">
      <a:solidFill>
        <a:schemeClr val="tx1">
          <a:lumMod val="15000"/>
          <a:lumOff val="85000"/>
        </a:schemeClr>
      </a:solidFill>
      <a:round/>
    </a:ln>
  </c:spPr>
  <c:txPr>
    <a:bodyPr/>
    <a:p>
      <a:pPr>
        <a:defRPr sz="9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sz="1400" b="0" spc="0">
                <a:solidFill>
                  <a:schemeClr val="tx1">
                    <a:lumMod val="65000"/>
                    <a:lumOff val="35000"/>
                  </a:schemeClr>
                </a:solidFill>
                <a:latin typeface="+mn-lt"/>
                <a:ea typeface="+mn-ea"/>
                <a:cs typeface="+mn-cs"/>
              </a:defRPr>
            </a:pPr>
            <a:r>
              <a:rPr/>
              <a:t>stylegan3 inference speed (</a:t>
            </a:r>
            <a:r>
              <a:rPr/>
              <a:t>afhqv2-512x512</a:t>
            </a:r>
            <a:r>
              <a:rPr/>
              <a:t>)</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barChart>
        <c:barDir val="col"/>
        <c:grouping val="clustered"/>
        <c:varyColors val="0"/>
        <c:ser>
          <c:idx val="0"/>
          <c:order val="0"/>
          <c:tx>
            <c:strRef>
              <c:f>backup!$A$2</c:f>
              <c:strCache>
                <c:ptCount val="1"/>
                <c:pt idx="0">
                  <c:v>A770</c:v>
                </c:pt>
              </c:strCache>
            </c:strRef>
          </c:tx>
          <c:spPr bwMode="auto">
            <a:prstGeom prst="rect">
              <a:avLst/>
            </a:prstGeom>
            <a:solidFill>
              <a:schemeClr val="accent1"/>
            </a:solidFill>
            <a:ln>
              <a:noFill/>
            </a:ln>
          </c:spPr>
          <c:invertIfNegative val="0"/>
          <c:dLbls>
            <c:dLblPos val="outEnd"/>
            <c:separator xml:space="preserve"> </c:separator>
            <c:showBubbleSize val="0"/>
            <c:showCatName val="0"/>
            <c:showLeaderLines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backup!$B$1:$D$1</c:f>
              <c:strCache>
                <c:ptCount val="3"/>
                <c:pt idx="0">
                  <c:v>stylegan3-r</c:v>
                </c:pt>
                <c:pt idx="1">
                  <c:v>stylegan3-t</c:v>
                </c:pt>
                <c:pt idx="2">
                  <c:v>stylegan2</c:v>
                </c:pt>
              </c:strCache>
            </c:strRef>
          </c:cat>
          <c:val>
            <c:numRef>
              <c:f>backup!$B$2:$D$2</c:f>
              <c:numCache>
                <c:formatCode>General</c:formatCode>
                <c:ptCount val="3"/>
                <c:pt idx="0">
                  <c:v>7.45</c:v>
                </c:pt>
                <c:pt idx="1">
                  <c:v>10.01</c:v>
                </c:pt>
                <c:pt idx="2">
                  <c:v>27.27</c:v>
                </c:pt>
              </c:numCache>
            </c:numRef>
          </c:val>
        </c:ser>
        <c:ser>
          <c:idx val="1"/>
          <c:order val="1"/>
          <c:tx>
            <c:strRef>
              <c:f>backup!$A$3</c:f>
              <c:strCache>
                <c:ptCount val="1"/>
                <c:pt idx="0">
                  <c:v>PVC Max 1100</c:v>
                </c:pt>
              </c:strCache>
            </c:strRef>
          </c:tx>
          <c:spPr bwMode="auto">
            <a:prstGeom prst="rect">
              <a:avLst/>
            </a:prstGeom>
            <a:solidFill>
              <a:schemeClr val="accent2"/>
            </a:solidFill>
            <a:ln>
              <a:noFill/>
            </a:ln>
          </c:spPr>
          <c:invertIfNegative val="0"/>
          <c:dLbls>
            <c:dLblPos val="outEnd"/>
            <c:separator xml:space="preserve"> </c:separator>
            <c:showBubbleSize val="0"/>
            <c:showCatName val="0"/>
            <c:showLeaderLines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backup!$B$1:$D$1</c:f>
              <c:strCache>
                <c:ptCount val="3"/>
                <c:pt idx="0">
                  <c:v>stylegan3-r</c:v>
                </c:pt>
                <c:pt idx="1">
                  <c:v>stylegan3-t</c:v>
                </c:pt>
                <c:pt idx="2">
                  <c:v>stylegan2</c:v>
                </c:pt>
              </c:strCache>
            </c:strRef>
          </c:cat>
          <c:val>
            <c:numRef>
              <c:f>backup!$B$3:$D$3</c:f>
              <c:numCache>
                <c:formatCode>General</c:formatCode>
                <c:ptCount val="3"/>
                <c:pt idx="0">
                  <c:v>6.42</c:v>
                </c:pt>
                <c:pt idx="1">
                  <c:v>14.91</c:v>
                </c:pt>
                <c:pt idx="2">
                  <c:v>33.37</c:v>
                </c:pt>
              </c:numCache>
            </c:numRef>
          </c:val>
        </c:ser>
        <c:ser>
          <c:idx val="2"/>
          <c:order val="2"/>
          <c:tx>
            <c:strRef>
              <c:f>backup!$A$4</c:f>
              <c:strCache>
                <c:ptCount val="1"/>
                <c:pt idx="0">
                  <c:v>1080Ti (CUDA)</c:v>
                </c:pt>
              </c:strCache>
            </c:strRef>
          </c:tx>
          <c:spPr bwMode="auto">
            <a:prstGeom prst="rect">
              <a:avLst/>
            </a:prstGeom>
            <a:solidFill>
              <a:schemeClr val="accent3"/>
            </a:solidFill>
            <a:ln>
              <a:noFill/>
            </a:ln>
          </c:spPr>
          <c:invertIfNegative val="0"/>
          <c:dLbls>
            <c:dLblPos val="outEnd"/>
            <c:separator xml:space="preserve"> </c:separator>
            <c:showBubbleSize val="0"/>
            <c:showCatName val="0"/>
            <c:showLeaderLines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backup!$B$1:$D$1</c:f>
              <c:strCache>
                <c:ptCount val="3"/>
                <c:pt idx="0">
                  <c:v>stylegan3-r</c:v>
                </c:pt>
                <c:pt idx="1">
                  <c:v>stylegan3-t</c:v>
                </c:pt>
                <c:pt idx="2">
                  <c:v>stylegan2</c:v>
                </c:pt>
              </c:strCache>
            </c:strRef>
          </c:cat>
          <c:val>
            <c:numRef>
              <c:f>backup!$B$4:$D$4</c:f>
              <c:numCache>
                <c:formatCode>General</c:formatCode>
                <c:ptCount val="3"/>
                <c:pt idx="0">
                  <c:v>11.9</c:v>
                </c:pt>
                <c:pt idx="1">
                  <c:v>10.27</c:v>
                </c:pt>
                <c:pt idx="2">
                  <c:v>20.83</c:v>
                </c:pt>
              </c:numCache>
            </c:numRef>
          </c:val>
        </c:ser>
        <c:dLbls>
          <c:dLblPos val="outEnd"/>
          <c:separator xml:space="preserve"> </c:separator>
          <c:showBubbleSize val="0"/>
          <c:showCatName val="0"/>
          <c:showLeaderLines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gapWidth val="219"/>
        <c:overlap val="-26"/>
        <c:axId val="2140841521"/>
        <c:axId val="2140841522"/>
      </c:barChart>
      <c:catAx>
        <c:axId val="2140841521"/>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Calibri"/>
                <a:ea typeface="Arial"/>
                <a:cs typeface="Arial"/>
              </a:defRPr>
            </a:pPr>
            <a:endParaRPr/>
          </a:p>
        </c:txPr>
        <c:crossAx val="2140841522"/>
        <c:crosses val="autoZero"/>
        <c:auto val="1"/>
        <c:lblAlgn val="ctr"/>
        <c:lblOffset val="100"/>
        <c:tickMarkSkip val="1"/>
        <c:noMultiLvlLbl val="0"/>
      </c:catAx>
      <c:valAx>
        <c:axId val="2140841522"/>
        <c:scaling>
          <c:orientation val="minMax"/>
        </c:scaling>
        <c:delete val="0"/>
        <c:axPos val="l"/>
        <c:majorGridlines>
          <c:spPr bwMode="auto">
            <a:prstGeom prst="rect">
              <a:avLst/>
            </a:prstGeom>
            <a:noFill/>
            <a:ln w="9525" cap="flat" cmpd="sng" algn="ctr">
              <a:solidFill>
                <a:schemeClr val="tx1">
                  <a:lumMod val="15000"/>
                  <a:lumOff val="85000"/>
                </a:schemeClr>
              </a:solidFill>
              <a:round/>
            </a:ln>
          </c:spPr>
        </c:majorGridlines>
        <c:title>
          <c:tx>
            <c:rich>
              <a:bodyPr/>
              <a:p>
                <a:pPr>
                  <a:defRPr/>
                </a:pPr>
                <a:r>
                  <a:rPr/>
                  <a:t>it/s</a:t>
                </a:r>
                <a:endParaRPr/>
              </a:p>
            </c:rich>
          </c:tx>
          <c:layout/>
          <c:overlay val="0"/>
          <c:spPr bwMode="auto">
            <a:prstGeom prst="rect">
              <a:avLst/>
            </a:prstGeom>
            <a:noFill/>
            <a:ln>
              <a:noFill/>
            </a:ln>
          </c:spPr>
          <c:txPr>
            <a:bodyPr rot="0" vert="horz"/>
            <a:p>
              <a:pPr>
                <a:defRPr sz="1000">
                  <a:solidFill>
                    <a:schemeClr val="tx1">
                      <a:lumMod val="65000"/>
                      <a:lumOff val="35000"/>
                    </a:schemeClr>
                  </a:solidFill>
                  <a:latin typeface="+mn-lt"/>
                  <a:ea typeface="+mn-ea"/>
                  <a:cs typeface="+mn-cs"/>
                </a:defRPr>
              </a:pPr>
              <a:endParaRPr/>
            </a:p>
          </c:txPr>
        </c:title>
        <c:numFmt formatCode="General"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Calibri"/>
                <a:ea typeface="Arial"/>
                <a:cs typeface="Arial"/>
              </a:defRPr>
            </a:pPr>
            <a:endParaRPr/>
          </a:p>
        </c:txPr>
        <c:crossAx val="214084152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a:off x="3428999" y="66674"/>
      <a:ext cx="5248274" cy="3109912"/>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ln w="19050">
        <a:solidFill>
          <a:schemeClr val="lt1"/>
        </a:solidFill>
      </a:ln>
    </cs:spPr>
  </cs:dataPoint>
  <cs:dataPoint3D>
    <cs:lnRef idx="0"/>
    <cs:fillRef idx="1">
      <cs:styleClr val="auto"/>
    </cs:fillRef>
    <cs:effectRef idx="0"/>
    <cs:fontRef idx="minor">
      <a:schemeClr val="tx1"/>
    </cs:fontRef>
    <cs:spPr bwMode="auto">
      <a:prstGeom prst="rect">
        <a:avLst/>
      </a:prstGeom>
      <a:ln w="25400">
        <a:solidFill>
          <a:schemeClr val="lt1"/>
        </a:solidFill>
      </a:ln>
    </cs:spPr>
  </cs:dataPoint3D>
  <cs:dataPointLine>
    <cs:lnRef idx="0">
      <cs:styleClr val="auto"/>
    </cs:lnRef>
    <cs:fillRef idx="0"/>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0"/>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tx1"/>
    </cs:fontRef>
    <cs:spPr bwMode="auto">
      <a:prstGeom prst="rect">
        <a:avLst/>
      </a:prstGeom>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50000"/>
            <a:lumOff val="50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bwMode="auto">
      <a:prstGeom prst="rect">
        <a:avLst/>
      </a:prstGeom>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ln w="19050">
        <a:solidFill>
          <a:schemeClr val="lt1"/>
        </a:solidFill>
      </a:ln>
    </cs:spPr>
  </cs:dataPoint>
  <cs:dataPoint3D>
    <cs:lnRef idx="0"/>
    <cs:fillRef idx="1">
      <cs:styleClr val="auto"/>
    </cs:fillRef>
    <cs:effectRef idx="0"/>
    <cs:fontRef idx="minor">
      <a:schemeClr val="tx1"/>
    </cs:fontRef>
    <cs:spPr bwMode="auto">
      <a:prstGeom prst="rect">
        <a:avLst/>
      </a:prstGeom>
      <a:ln w="25400">
        <a:solidFill>
          <a:schemeClr val="lt1"/>
        </a:solidFill>
      </a:ln>
    </cs:spPr>
  </cs:dataPoint3D>
  <cs:dataPointLine>
    <cs:lnRef idx="0">
      <cs:styleClr val="auto"/>
    </cs:lnRef>
    <cs:fillRef idx="0"/>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0"/>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tx1"/>
    </cs:fontRef>
    <cs:spPr bwMode="auto">
      <a:prstGeom prst="rect">
        <a:avLst/>
      </a:prstGeom>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50000"/>
            <a:lumOff val="50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bwMode="auto">
      <a:prstGeom prst="rect">
        <a:avLst/>
      </a:prstGeom>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 Id="rId2" Type="http://schemas.openxmlformats.org/officeDocument/2006/relationships/chart" Target="../charts/chart2.xml" /><Relationship Id="rId3" Type="http://schemas.openxmlformats.org/officeDocument/2006/relationships/chart" Target="../charts/chart3.xml" /><Relationship Id="rId4" Type="http://schemas.openxmlformats.org/officeDocument/2006/relationships/chart" Target="../charts/chart4.xml" /><Relationship Id="rId5" Type="http://schemas.openxmlformats.org/officeDocument/2006/relationships/chart" Target="../charts/chart5.xml" /><Relationship Id="rId6" Type="http://schemas.openxmlformats.org/officeDocument/2006/relationships/chart" Target="../charts/chart6.xml" /><Relationship Id="rId7" Type="http://schemas.openxmlformats.org/officeDocument/2006/relationships/chart" Target="../charts/chart7.xml" /><Relationship Id="rId8" Type="http://schemas.openxmlformats.org/officeDocument/2006/relationships/chart" Target="../charts/chart8.xml" /><Relationship Id="rId9" Type="http://schemas.openxmlformats.org/officeDocument/2006/relationships/chart" Target="../charts/chart9.xml" /><Relationship Id="rId10" Type="http://schemas.openxmlformats.org/officeDocument/2006/relationships/chart" Target="../charts/chart10.xml" /><Relationship Id="rId11" Type="http://schemas.openxmlformats.org/officeDocument/2006/relationships/chart" Target="../charts/chart1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12.xml" /></Relationships>
</file>

<file path=xl/drawings/_rels/drawing3.xml.rels><?xml version="1.0" encoding="UTF-8" standalone="yes"?><Relationships xmlns="http://schemas.openxmlformats.org/package/2006/relationships"><Relationship Id="rId1" Type="http://schemas.openxmlformats.org/officeDocument/2006/relationships/chart" Target="../charts/chart13.xml" /></Relationships>
</file>

<file path=xl/drawings/_rels/drawing4.xml.rels><?xml version="1.0" encoding="UTF-8" standalone="yes"?><Relationships xmlns="http://schemas.openxmlformats.org/package/2006/relationships"><Relationship Id="rId1" Type="http://schemas.openxmlformats.org/officeDocument/2006/relationships/chart" Target="../charts/chart14.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20</xdr:col>
      <xdr:colOff>28574</xdr:colOff>
      <xdr:row>0</xdr:row>
      <xdr:rowOff>38097</xdr:rowOff>
    </xdr:from>
    <xdr:to>
      <xdr:col>31</xdr:col>
      <xdr:colOff>409575</xdr:colOff>
      <xdr:row>33</xdr:row>
      <xdr:rowOff>19047</xdr:rowOff>
    </xdr:to>
    <xdr:graphicFrame>
      <xdr:nvGraphicFramePr>
        <xdr:cNvPr id="1084330078" name=""/>
        <xdr:cNvGraphicFramePr>
          <a:graphicFrameLocks xmlns:a="http://schemas.openxmlformats.org/drawingml/2006/main"/>
        </xdr:cNvGraphicFramePr>
      </xdr:nvGraphicFramePr>
      <xdr:xfrm rot="0" flipH="0" flipV="0">
        <a:off x="15335249" y="38097"/>
        <a:ext cx="7086600" cy="5953124"/>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32</xdr:col>
      <xdr:colOff>28575</xdr:colOff>
      <xdr:row>0</xdr:row>
      <xdr:rowOff>38097</xdr:rowOff>
    </xdr:from>
    <xdr:to>
      <xdr:col>43</xdr:col>
      <xdr:colOff>409576</xdr:colOff>
      <xdr:row>33</xdr:row>
      <xdr:rowOff>19047</xdr:rowOff>
    </xdr:to>
    <xdr:graphicFrame>
      <xdr:nvGraphicFramePr>
        <xdr:cNvPr id="2109762445" name=""/>
        <xdr:cNvGraphicFramePr>
          <a:graphicFrameLocks xmlns:a="http://schemas.openxmlformats.org/drawingml/2006/main"/>
        </xdr:cNvGraphicFramePr>
      </xdr:nvGraphicFramePr>
      <xdr:xfrm rot="0" flipH="0" flipV="0">
        <a:off x="22650450" y="38097"/>
        <a:ext cx="7086600" cy="5953124"/>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twoCell">
    <xdr:from>
      <xdr:col>7</xdr:col>
      <xdr:colOff>47623</xdr:colOff>
      <xdr:row>0</xdr:row>
      <xdr:rowOff>38097</xdr:rowOff>
    </xdr:from>
    <xdr:to>
      <xdr:col>18</xdr:col>
      <xdr:colOff>428624</xdr:colOff>
      <xdr:row>33</xdr:row>
      <xdr:rowOff>19047</xdr:rowOff>
    </xdr:to>
    <xdr:graphicFrame>
      <xdr:nvGraphicFramePr>
        <xdr:cNvPr id="1362697770" name=""/>
        <xdr:cNvGraphicFramePr>
          <a:graphicFrameLocks xmlns:a="http://schemas.openxmlformats.org/drawingml/2006/main"/>
        </xdr:cNvGraphicFramePr>
      </xdr:nvGraphicFramePr>
      <xdr:xfrm rot="0" flipH="0" flipV="0">
        <a:off x="6591298" y="38097"/>
        <a:ext cx="7086600" cy="5953124"/>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twoCell">
    <xdr:from>
      <xdr:col>7</xdr:col>
      <xdr:colOff>28573</xdr:colOff>
      <xdr:row>35</xdr:row>
      <xdr:rowOff>38097</xdr:rowOff>
    </xdr:from>
    <xdr:to>
      <xdr:col>17</xdr:col>
      <xdr:colOff>333374</xdr:colOff>
      <xdr:row>58</xdr:row>
      <xdr:rowOff>28573</xdr:rowOff>
    </xdr:to>
    <xdr:graphicFrame>
      <xdr:nvGraphicFramePr>
        <xdr:cNvPr id="1165501644" name=""/>
        <xdr:cNvGraphicFramePr>
          <a:graphicFrameLocks xmlns:a="http://schemas.openxmlformats.org/drawingml/2006/main"/>
        </xdr:cNvGraphicFramePr>
      </xdr:nvGraphicFramePr>
      <xdr:xfrm rot="0" flipH="0" flipV="0">
        <a:off x="6572248" y="6372222"/>
        <a:ext cx="6400800" cy="41529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twoCell">
    <xdr:from>
      <xdr:col>7</xdr:col>
      <xdr:colOff>28573</xdr:colOff>
      <xdr:row>58</xdr:row>
      <xdr:rowOff>28572</xdr:rowOff>
    </xdr:from>
    <xdr:to>
      <xdr:col>17</xdr:col>
      <xdr:colOff>333374</xdr:colOff>
      <xdr:row>81</xdr:row>
      <xdr:rowOff>19048</xdr:rowOff>
    </xdr:to>
    <xdr:graphicFrame>
      <xdr:nvGraphicFramePr>
        <xdr:cNvPr id="829150035" name=""/>
        <xdr:cNvGraphicFramePr>
          <a:graphicFrameLocks xmlns:a="http://schemas.openxmlformats.org/drawingml/2006/main"/>
        </xdr:cNvGraphicFramePr>
      </xdr:nvGraphicFramePr>
      <xdr:xfrm rot="0" flipH="0" flipV="0">
        <a:off x="6572248" y="10525122"/>
        <a:ext cx="6400800" cy="4152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twoCell">
    <xdr:from>
      <xdr:col>20</xdr:col>
      <xdr:colOff>9524</xdr:colOff>
      <xdr:row>35</xdr:row>
      <xdr:rowOff>38097</xdr:rowOff>
    </xdr:from>
    <xdr:to>
      <xdr:col>31</xdr:col>
      <xdr:colOff>390525</xdr:colOff>
      <xdr:row>58</xdr:row>
      <xdr:rowOff>28572</xdr:rowOff>
    </xdr:to>
    <xdr:graphicFrame>
      <xdr:nvGraphicFramePr>
        <xdr:cNvPr id="1337175695" name=""/>
        <xdr:cNvGraphicFramePr>
          <a:graphicFrameLocks xmlns:a="http://schemas.openxmlformats.org/drawingml/2006/main"/>
        </xdr:cNvGraphicFramePr>
      </xdr:nvGraphicFramePr>
      <xdr:xfrm rot="0" flipH="0" flipV="0">
        <a:off x="15316199" y="6372222"/>
        <a:ext cx="7086600" cy="4152899"/>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twoCell">
    <xdr:from>
      <xdr:col>20</xdr:col>
      <xdr:colOff>9524</xdr:colOff>
      <xdr:row>58</xdr:row>
      <xdr:rowOff>28573</xdr:rowOff>
    </xdr:from>
    <xdr:to>
      <xdr:col>31</xdr:col>
      <xdr:colOff>390525</xdr:colOff>
      <xdr:row>81</xdr:row>
      <xdr:rowOff>19048</xdr:rowOff>
    </xdr:to>
    <xdr:graphicFrame>
      <xdr:nvGraphicFramePr>
        <xdr:cNvPr id="966447916" name=""/>
        <xdr:cNvGraphicFramePr>
          <a:graphicFrameLocks xmlns:a="http://schemas.openxmlformats.org/drawingml/2006/main"/>
        </xdr:cNvGraphicFramePr>
      </xdr:nvGraphicFramePr>
      <xdr:xfrm rot="0" flipH="0" flipV="0">
        <a:off x="15316199" y="10525123"/>
        <a:ext cx="7086600" cy="4152899"/>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twoCell">
    <xdr:from>
      <xdr:col>32</xdr:col>
      <xdr:colOff>9525</xdr:colOff>
      <xdr:row>35</xdr:row>
      <xdr:rowOff>38097</xdr:rowOff>
    </xdr:from>
    <xdr:to>
      <xdr:col>43</xdr:col>
      <xdr:colOff>390526</xdr:colOff>
      <xdr:row>58</xdr:row>
      <xdr:rowOff>28572</xdr:rowOff>
    </xdr:to>
    <xdr:graphicFrame>
      <xdr:nvGraphicFramePr>
        <xdr:cNvPr id="1898790869" name=""/>
        <xdr:cNvGraphicFramePr>
          <a:graphicFrameLocks xmlns:a="http://schemas.openxmlformats.org/drawingml/2006/main"/>
        </xdr:cNvGraphicFramePr>
      </xdr:nvGraphicFramePr>
      <xdr:xfrm rot="0" flipH="0" flipV="0">
        <a:off x="22631400" y="6372222"/>
        <a:ext cx="7086600" cy="4152899"/>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twoCell">
    <xdr:from>
      <xdr:col>32</xdr:col>
      <xdr:colOff>9525</xdr:colOff>
      <xdr:row>58</xdr:row>
      <xdr:rowOff>28572</xdr:rowOff>
    </xdr:from>
    <xdr:to>
      <xdr:col>43</xdr:col>
      <xdr:colOff>390526</xdr:colOff>
      <xdr:row>81</xdr:row>
      <xdr:rowOff>19047</xdr:rowOff>
    </xdr:to>
    <xdr:graphicFrame>
      <xdr:nvGraphicFramePr>
        <xdr:cNvPr id="674742916" name=""/>
        <xdr:cNvGraphicFramePr>
          <a:graphicFrameLocks xmlns:a="http://schemas.openxmlformats.org/drawingml/2006/main"/>
        </xdr:cNvGraphicFramePr>
      </xdr:nvGraphicFramePr>
      <xdr:xfrm rot="0" flipH="0" flipV="0">
        <a:off x="22631400" y="10525122"/>
        <a:ext cx="7086600" cy="4152899"/>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twoCell">
    <xdr:from>
      <xdr:col>0</xdr:col>
      <xdr:colOff>0</xdr:colOff>
      <xdr:row>46</xdr:row>
      <xdr:rowOff>69054</xdr:rowOff>
    </xdr:from>
    <xdr:to>
      <xdr:col>7</xdr:col>
      <xdr:colOff>28573</xdr:colOff>
      <xdr:row>64</xdr:row>
      <xdr:rowOff>45241</xdr:rowOff>
    </xdr:to>
    <xdr:graphicFrame>
      <xdr:nvGraphicFramePr>
        <xdr:cNvPr id="1392491237" name=""/>
        <xdr:cNvGraphicFramePr>
          <a:graphicFrameLocks xmlns:a="http://schemas.openxmlformats.org/drawingml/2006/main"/>
        </xdr:cNvGraphicFramePr>
      </xdr:nvGraphicFramePr>
      <xdr:xfrm rot="0" flipH="0" flipV="0">
        <a:off x="0" y="8393904"/>
        <a:ext cx="6572248" cy="3233737"/>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twoCell">
    <xdr:from>
      <xdr:col>0</xdr:col>
      <xdr:colOff>0</xdr:colOff>
      <xdr:row>72</xdr:row>
      <xdr:rowOff>90487</xdr:rowOff>
    </xdr:from>
    <xdr:to>
      <xdr:col>4</xdr:col>
      <xdr:colOff>28574</xdr:colOff>
      <xdr:row>87</xdr:row>
      <xdr:rowOff>100012</xdr:rowOff>
    </xdr:to>
    <xdr:graphicFrame>
      <xdr:nvGraphicFramePr>
        <xdr:cNvPr id="218131259" name=""/>
        <xdr:cNvGraphicFramePr>
          <a:graphicFrameLocks xmlns:a="http://schemas.openxmlformats.org/drawingml/2006/main"/>
        </xdr:cNvGraphicFramePr>
      </xdr:nvGraphicFramePr>
      <xdr:xfrm rot="0" flipH="0" flipV="0">
        <a:off x="0" y="13120687"/>
        <a:ext cx="4743449" cy="2724149"/>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36</xdr:col>
      <xdr:colOff>638174</xdr:colOff>
      <xdr:row>1</xdr:row>
      <xdr:rowOff>4762</xdr:rowOff>
    </xdr:from>
    <xdr:to>
      <xdr:col>54</xdr:col>
      <xdr:colOff>600074</xdr:colOff>
      <xdr:row>40</xdr:row>
      <xdr:rowOff>9524</xdr:rowOff>
    </xdr:to>
    <xdr:graphicFrame>
      <xdr:nvGraphicFramePr>
        <xdr:cNvPr id="1581958589" name=""/>
        <xdr:cNvGraphicFramePr>
          <a:graphicFrameLocks xmlns:a="http://schemas.openxmlformats.org/drawingml/2006/main"/>
        </xdr:cNvGraphicFramePr>
      </xdr:nvGraphicFramePr>
      <xdr:xfrm rot="0" flipH="0" flipV="0">
        <a:off x="31956374" y="185737"/>
        <a:ext cx="10972800" cy="7062787"/>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37</xdr:col>
      <xdr:colOff>9524</xdr:colOff>
      <xdr:row>0</xdr:row>
      <xdr:rowOff>176212</xdr:rowOff>
    </xdr:from>
    <xdr:to>
      <xdr:col>53</xdr:col>
      <xdr:colOff>609599</xdr:colOff>
      <xdr:row>37</xdr:row>
      <xdr:rowOff>142874</xdr:rowOff>
    </xdr:to>
    <xdr:graphicFrame>
      <xdr:nvGraphicFramePr>
        <xdr:cNvPr id="1275556198" name=""/>
        <xdr:cNvGraphicFramePr>
          <a:graphicFrameLocks xmlns:a="http://schemas.openxmlformats.org/drawingml/2006/main"/>
        </xdr:cNvGraphicFramePr>
      </xdr:nvGraphicFramePr>
      <xdr:xfrm rot="0" flipH="0" flipV="0">
        <a:off x="32061149" y="176212"/>
        <a:ext cx="10353674" cy="6662737"/>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4</xdr:col>
      <xdr:colOff>114299</xdr:colOff>
      <xdr:row>0</xdr:row>
      <xdr:rowOff>66673</xdr:rowOff>
    </xdr:from>
    <xdr:to>
      <xdr:col>12</xdr:col>
      <xdr:colOff>485774</xdr:colOff>
      <xdr:row>18</xdr:row>
      <xdr:rowOff>4762</xdr:rowOff>
    </xdr:to>
    <xdr:graphicFrame>
      <xdr:nvGraphicFramePr>
        <xdr:cNvPr id="1842940348" name=""/>
        <xdr:cNvGraphicFramePr>
          <a:graphicFrameLocks xmlns:a="http://schemas.openxmlformats.org/drawingml/2006/main"/>
        </xdr:cNvGraphicFramePr>
      </xdr:nvGraphicFramePr>
      <xdr:xfrm>
        <a:off x="3428999" y="66674"/>
        <a:ext cx="5248274" cy="3109912"/>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user" id="{E6CCE3E4-656A-A8FF-EE58-212758402DC9}" userId="user" providerId="Teamlab"/>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2" dT="2024-12-03T16:35:38.28Z" personId="{E6CCE3E4-656A-A8FF-EE58-212758402DC9}" id="{5D1DD697-3B31-24C3-D1FC-4F10BC94625B}" done="0">
    <text xml:space="preserve">heads/debug_profiling-0-g9390a36 with "ENVNAME=stylegan3_2_1_40_xpu"
exact pytorch version: 2.1.0.post3+cxx11.abi
</text>
  </threadedComment>
  <threadedComment ref="A11" dT="2025-04-01T10:59:07.03Z" personId="{E6CCE3E4-656A-A8FF-EE58-212758402DC9}" id="{D300BCD4-AF64-1F2B-8C24-5B84F5440E4F}" done="0">
    <text xml:space="preserve">heads/debug_profiling-0-gd9c04ad
stylegan3_pytorch_2_3
</text>
  </threadedComment>
  <threadedComment ref="A16" dT="2025-04-01T09:08:33.34Z" personId="{E6CCE3E4-656A-A8FF-EE58-212758402DC9}" id="{A01B7651-90D1-9D61-E5CA-ED6EEA98DA46}" done="0">
    <text xml:space="preserve">heads/debug_profiling-2.1-0-g37d3e93
ipex_2_1_40
VM instance
</text>
  </threadedComment>
  <threadedComment ref="A17" dT="2025-04-01T09:08:33.34Z" personId="{E6CCE3E4-656A-A8FF-EE58-212758402DC9}" id="{9C780A3F-2882-4906-A15E-6397004551BF}" done="0">
    <text xml:space="preserve">heads/debug_profiling-0-gd9c04ad
ipex_2_3_110
VM instance
</text>
  </threadedComment>
  <threadedComment ref="A19" dT="2025-03-28T16:45:12.02Z" personId="{E6CCE3E4-656A-A8FF-EE58-212758402DC9}" id="{1CB70762-CB98-18A3-8B23-8B0C43552DB3}" done="0">
    <text xml:space="preserve">heads/debug_profiling-0-gb9cee85 with "stylegan" environment
re-measure with current commit
</text>
  </threadedComment>
  <threadedComment ref="A3" dT="2024-12-03T16:35:38.28Z" personId="{E6CCE3E4-656A-A8FF-EE58-212758402DC9}" id="{D60FF92D-CD85-77A7-BAF7-B50E5A8F386D}" done="0">
    <text xml:space="preserve">heads/debug_profiling-0-gdab3304 with "ENVNAME=stylegan3_2_1_40_xpu"
re-measured current commit, with current GPU driver
</text>
  </threadedComment>
  <threadedComment ref="A21" dT="2025-04-01T10:58:41.53Z" personId="{E6CCE3E4-656A-A8FF-EE58-212758402DC9}" id="{7ED0FFCC-B7DA-8554-413C-5373D5E862EB}" done="0">
    <text xml:space="preserve">heads/debug_profiling-0-gd9c04ad
stylegan3_pytorch_2_3
</text>
  </threadedComment>
  <threadedComment ref="E29" dT="2024-12-03T17:44:41.53Z" personId="{E6CCE3E4-656A-A8FF-EE58-212758402DC9}" id="{44FE1040-EA6E-1D7C-5CD3-EEAB189226D0}" done="1">
    <text xml:space="preserve">TODO try upgrading and re-measuring
</text>
  </threadedComment>
  <threadedComment ref="A4" dT="2024-12-03T16:35:38.28Z" personId="{E6CCE3E4-656A-A8FF-EE58-212758402DC9}" id="{0A840647-343D-ECD8-EE73-9B5128B511C0}" done="0">
    <text xml:space="preserve">heads/debug_profiling-0-gdab3304 with "ENVNAME=stylegan3_2_3_110_xpu"
torch 2.3.1+cxx11.abi
</text>
  </threadedComment>
  <threadedComment ref="A5" dT="2024-12-03T16:08:51.51Z" personId="{E6CCE3E4-656A-A8FF-EE58-212758402DC9}" id="{9885B1C3-AB22-94B7-30B7-E8A667F23725}" done="0">
    <text xml:space="preserve">9390a36a6b1ee05f376ece3fc065dfb77f459ded with "-O1" (which is in the commit)
on a VM instance on Intel Tiber Developer Cloud
</text>
  </threadedComment>
  <threadedComment ref="A6" dT="2025-04-01T09:07:41.05Z" personId="{E6CCE3E4-656A-A8FF-EE58-212758402DC9}" id="{152CC54A-CC3F-A8E8-3020-50D37FDCC26A}" done="0">
    <text xml:space="preserve">heads/debug_profiling-2.1-0-g37d3e93
ipex_2_1_40
VM instance
</text>
  </threadedComment>
  <threadedComment ref="A7" dT="2025-04-01T09:07:41.05Z" personId="{E6CCE3E4-656A-A8FF-EE58-212758402DC9}" id="{02D5EC6F-3679-B832-F9F8-3AF034DC73B7}" done="0">
    <text xml:space="preserve">heads/debug_profiling-0-gd9c04ad
ipex_2_3_110
VM instance
</text>
  </threadedComment>
  <threadedComment ref="A8" dT="2024-12-03T16:36:13.13Z" personId="{E6CCE3E4-656A-A8FF-EE58-212758402DC9}" id="{07C5CB9B-011A-F201-BE01-B6ED5DCC747A}" done="0">
    <text xml:space="preserve">heads/debug_profiling-0-g9390a36 with "stylegan" environment
</text>
  </threadedComment>
  <threadedComment ref="A9" dT="2024-12-03T16:36:13.13Z" personId="{E6CCE3E4-656A-A8FF-EE58-212758402DC9}" id="{3D18DD77-473E-3CE6-83E6-86E80A773716}" done="0">
    <text xml:space="preserve">heads/debug_profiling-0-gb9cee85 with "stylegan" environment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5-04-03T10:32:40.71Z" personId="{E6CCE3E4-656A-A8FF-EE58-212758402DC9}" id="{80F3E044-5FFD-2CA2-6416-75190749A912}" done="0">
    <text xml:space="preserve">sg3-t gpu-hotspots 2.3.110 PVC
Apr 02 2025 21:10:41 (Intel PVC IPEX 2.3.110 profiling 2025-04-02.txt)
min/mean/median/max speed when profiling: 0.16 11.62 12.23 12.89 it/s (~84% of the speed when not profiling)
VTune project: z790p:500data/mff/Intel PVC 2025-03/stylegan3/gh/gh.vtune
</text>
  </threadedComment>
  <threadedComment ref="AI3" dT="2025-04-03T11:57:55.32Z" personId="{E6CCE3E4-656A-A8FF-EE58-212758402DC9}" id="{62EB9C6E-8384-AB77-B7C6-F0E136C7488A}" done="0">
    <text xml:space="preserve">just below the measurement accuracy?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5-04-03T10:32:40.71Z" personId="{E6CCE3E4-656A-A8FF-EE58-212758402DC9}" id="{319EC003-E681-B651-2F97-9254B7601D2B}" done="0">
    <text xml:space="preserve">sg3-t gpu-hotspots 2.3.110 A770
Apr 03 2025 13:30:11 (# Intel A770 IPEX 2.3.110 profiling 2025-04-03.log)
min/mean/median/max speed when profiling: 0.89 8.51 8.64 8.76 it/s (~93% of the speed when not profiling)
VTune project: z790p:/media/user/a648b44d-0418-4c82-b172-8bd278c99e42/home/user/stylegan3/gh/gh.vtune
</text>
  </threadedComment>
</ThreadedComments>
</file>

<file path=xl/threadedComments/threadedComment4.xml><?xml version="1.0" encoding="utf-8"?>
<ThreadedComments xmlns="http://schemas.microsoft.com/office/spreadsheetml/2018/threadedcomments" xmlns:x="http://schemas.openxmlformats.org/spreadsheetml/2006/main">
  <threadedComment ref="A2" dT="2024-12-03T16:35:38.28Z" personId="{E6CCE3E4-656A-A8FF-EE58-212758402DC9}" id="{FBA8A04F-1144-D4CE-3955-9139357F1DF7}" done="0">
    <text xml:space="preserve">heads/debug_profiling-0-g9390a36 with "ENVNAME=stylegan3_2_1_40_xpu"
</text>
  </threadedComment>
  <threadedComment ref="A3" dT="2024-12-03T16:08:51.51Z" personId="{E6CCE3E4-656A-A8FF-EE58-212758402DC9}" id="{49BA0359-1DD6-6E69-0623-10EC65534207}" done="0">
    <text xml:space="preserve">9390a36a6b1ee05f376ece3fc065dfb77f459ded with "-O1" (which is in the commit)
</text>
  </threadedComment>
  <threadedComment ref="A4" dT="2024-12-03T16:36:13.13Z" personId="{E6CCE3E4-656A-A8FF-EE58-212758402DC9}" id="{71B80EF3-EE31-C54E-AB34-BCEA6BB0C751}" done="0">
    <text xml:space="preserve">heads/debug_profiling-0-g9390a36 with "stylegan" environment
</text>
  </threadedComment>
</ThreadedComments>
</file>

<file path=xl/worksheets/_rels/sheet1.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drawing" Target="../drawings/drawing3.xml"/><Relationship  Id="rId4" Type="http://schemas.openxmlformats.org/officeDocument/2006/relationships/vmlDrawing" Target="../drawings/vmlDrawing3.vml"/></Relationships>
</file>

<file path=xl/worksheets/_rels/sheet6.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drawing" Target="../drawings/drawing4.xml"/><Relationship  Id="rId4"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F16" zoomScale="100" workbookViewId="0">
      <selection activeCell="A1" activeCellId="0" sqref="A1"/>
    </sheetView>
  </sheetViews>
  <sheetFormatPr defaultRowHeight="14.25"/>
  <cols>
    <col customWidth="1" min="1" max="1" width="32.28125"/>
    <col customWidth="1" min="2" max="3" width="12.140625"/>
    <col customWidth="1" min="4" max="4" width="14.140625"/>
    <col customWidth="1" min="20" max="20" width="21.7109375"/>
  </cols>
  <sheetData>
    <row r="1" ht="14.25">
      <c r="B1" t="s">
        <v>0</v>
      </c>
      <c r="C1" t="s">
        <v>1</v>
      </c>
      <c r="D1" t="s">
        <v>2</v>
      </c>
      <c r="E1" s="1" t="s">
        <v>3</v>
      </c>
      <c r="T1" s="2" t="s">
        <v>4</v>
      </c>
    </row>
    <row r="2" ht="14.25">
      <c r="A2" t="s">
        <v>5</v>
      </c>
      <c r="B2" s="3">
        <v>7.4500000000000002</v>
      </c>
      <c r="C2" s="3">
        <v>10.01</v>
      </c>
      <c r="D2" s="3">
        <v>27.27</v>
      </c>
      <c r="E2" s="1" t="s">
        <v>6</v>
      </c>
      <c r="T2" s="2"/>
    </row>
    <row r="3" ht="14.25">
      <c r="A3" s="4" t="s">
        <v>5</v>
      </c>
      <c r="B3" s="3">
        <v>7.2599999999999998</v>
      </c>
      <c r="C3" s="3">
        <v>9.9800000000000004</v>
      </c>
      <c r="D3" s="3">
        <v>27.23</v>
      </c>
      <c r="E3" s="1" t="s">
        <v>7</v>
      </c>
      <c r="T3" s="2"/>
    </row>
    <row r="4" ht="14.25">
      <c r="A4" s="4" t="s">
        <v>8</v>
      </c>
      <c r="B4" s="3">
        <v>6.8300000000000001</v>
      </c>
      <c r="C4" s="3">
        <v>9.2899999999999991</v>
      </c>
      <c r="D4" s="3">
        <v>21.140000000000001</v>
      </c>
      <c r="E4" s="1" t="s">
        <v>9</v>
      </c>
    </row>
    <row r="5" ht="14.25">
      <c r="A5" t="s">
        <v>10</v>
      </c>
      <c r="B5" s="3">
        <v>6.4199999999999999</v>
      </c>
      <c r="C5" s="3">
        <v>14.91</v>
      </c>
      <c r="D5" s="3">
        <v>33.369999999999997</v>
      </c>
      <c r="E5" s="1" t="s">
        <v>11</v>
      </c>
    </row>
    <row r="6" ht="14.25">
      <c r="A6" s="5" t="s">
        <v>10</v>
      </c>
      <c r="B6" s="3">
        <v>6.2999999999999998</v>
      </c>
      <c r="C6" s="3">
        <v>14.550000000000001</v>
      </c>
      <c r="D6" s="3">
        <v>32.619999999999997</v>
      </c>
      <c r="E6" s="1" t="s">
        <v>12</v>
      </c>
    </row>
    <row r="7" ht="14.25">
      <c r="A7" s="5" t="s">
        <v>13</v>
      </c>
      <c r="B7" s="3">
        <v>6.4500000000000002</v>
      </c>
      <c r="C7" s="3">
        <v>14.51</v>
      </c>
      <c r="D7" s="3">
        <v>35.039999999999999</v>
      </c>
      <c r="E7" s="1" t="s">
        <v>14</v>
      </c>
    </row>
    <row r="8" ht="14.25">
      <c r="A8" t="s">
        <v>15</v>
      </c>
      <c r="B8" s="3">
        <v>11.9</v>
      </c>
      <c r="C8" s="3">
        <v>10.27</v>
      </c>
      <c r="D8" s="3">
        <v>20.829999999999998</v>
      </c>
      <c r="E8" s="1" t="s">
        <v>6</v>
      </c>
    </row>
    <row r="9" ht="14.25">
      <c r="A9" s="4" t="s">
        <v>15</v>
      </c>
      <c r="B9" s="3">
        <v>12.630000000000001</v>
      </c>
      <c r="C9" s="3">
        <v>10.9</v>
      </c>
      <c r="D9" s="3">
        <v>22.07</v>
      </c>
      <c r="E9" s="1" t="s">
        <v>16</v>
      </c>
    </row>
    <row r="10" ht="14.25">
      <c r="A10" s="5" t="s">
        <v>17</v>
      </c>
      <c r="B10" s="3">
        <v>13.859999999999999</v>
      </c>
      <c r="C10" s="3">
        <v>7.04</v>
      </c>
      <c r="D10" s="3">
        <v>36.68</v>
      </c>
      <c r="E10" s="1" t="s">
        <v>18</v>
      </c>
    </row>
    <row r="11" ht="14.25">
      <c r="A11" s="5" t="s">
        <v>19</v>
      </c>
      <c r="B11" s="3">
        <v>14.84</v>
      </c>
      <c r="C11" s="3">
        <v>7.5999999999999996</v>
      </c>
      <c r="D11" s="3">
        <v>38.200000000000003</v>
      </c>
      <c r="E11" s="1" t="s">
        <v>20</v>
      </c>
    </row>
    <row r="12" ht="14.25">
      <c r="A12" t="s">
        <v>21</v>
      </c>
      <c r="B12" s="3">
        <v>15.050000000000001</v>
      </c>
      <c r="C12" s="3">
        <v>17.989999999999998</v>
      </c>
      <c r="D12" s="3">
        <v>42.219999999999999</v>
      </c>
      <c r="E12" s="1" t="s">
        <v>22</v>
      </c>
    </row>
    <row r="13" ht="14.25">
      <c r="A13" s="6" t="s">
        <v>23</v>
      </c>
      <c r="B13" s="3">
        <v>17.629999999999999</v>
      </c>
      <c r="C13" s="3">
        <v>18.52</v>
      </c>
      <c r="D13" s="3">
        <v>52.829999999999998</v>
      </c>
      <c r="E13" s="1" t="s">
        <v>24</v>
      </c>
    </row>
    <row r="14" ht="14.25">
      <c r="A14" s="5" t="s">
        <v>25</v>
      </c>
      <c r="B14" s="3">
        <v>1.01</v>
      </c>
      <c r="C14" s="3">
        <v>1.77</v>
      </c>
      <c r="D14" s="3">
        <v>24.52</v>
      </c>
      <c r="E14" s="1" t="s">
        <v>6</v>
      </c>
    </row>
    <row r="15" ht="14.25">
      <c r="A15" s="5" t="s">
        <v>26</v>
      </c>
      <c r="B15" s="3">
        <v>1.01</v>
      </c>
      <c r="C15" s="3">
        <v>1.75</v>
      </c>
      <c r="D15" s="3">
        <v>20.690000000000001</v>
      </c>
      <c r="E15" s="1" t="s">
        <v>27</v>
      </c>
    </row>
    <row r="16" ht="14.25">
      <c r="A16" s="5" t="s">
        <v>28</v>
      </c>
      <c r="B16" s="3">
        <v>1.8600000000000001</v>
      </c>
      <c r="C16" s="3">
        <v>3.1099999999999999</v>
      </c>
      <c r="D16" s="3">
        <v>34.75</v>
      </c>
      <c r="E16" s="1" t="s">
        <v>29</v>
      </c>
    </row>
    <row r="17" ht="14.25">
      <c r="A17" s="5" t="s">
        <v>30</v>
      </c>
      <c r="B17" s="3">
        <v>1.8600000000000001</v>
      </c>
      <c r="C17" s="3">
        <v>3.1099999999999999</v>
      </c>
      <c r="D17" s="3">
        <v>36.380000000000003</v>
      </c>
      <c r="E17" s="1" t="s">
        <v>31</v>
      </c>
    </row>
    <row r="18" ht="14.25">
      <c r="A18" s="5" t="s">
        <v>32</v>
      </c>
      <c r="B18" s="3">
        <v>0.23999999999999999</v>
      </c>
      <c r="C18" s="3">
        <v>0.92000000000000004</v>
      </c>
      <c r="D18" s="3">
        <v>15.130000000000001</v>
      </c>
      <c r="E18" s="1" t="s">
        <v>6</v>
      </c>
    </row>
    <row r="19" ht="14.25">
      <c r="A19" s="5" t="s">
        <v>32</v>
      </c>
      <c r="B19" s="3">
        <v>0.26000000000000001</v>
      </c>
      <c r="C19" s="3">
        <v>0.96999999999999997</v>
      </c>
      <c r="D19" s="3">
        <v>16.02</v>
      </c>
      <c r="E19" s="1" t="s">
        <v>33</v>
      </c>
    </row>
    <row r="20" ht="14.25">
      <c r="A20" t="s">
        <v>34</v>
      </c>
      <c r="B20" s="3">
        <v>0.23000000000000001</v>
      </c>
      <c r="C20" s="3">
        <v>0.81999999999999995</v>
      </c>
      <c r="D20" s="3">
        <v>22.699999999999999</v>
      </c>
      <c r="E20" s="1" t="s">
        <v>18</v>
      </c>
    </row>
    <row r="21" ht="14.25">
      <c r="A21" s="4" t="s">
        <v>35</v>
      </c>
      <c r="B21" s="3">
        <v>0.27000000000000002</v>
      </c>
      <c r="C21" s="3">
        <v>0.94999999999999996</v>
      </c>
      <c r="D21" s="3">
        <v>25.140000000000001</v>
      </c>
      <c r="E21" s="1" t="s">
        <v>36</v>
      </c>
    </row>
    <row r="22" ht="14.25">
      <c r="A22" s="7" t="s">
        <v>37</v>
      </c>
      <c r="B22" s="8">
        <v>0.81000000000000005</v>
      </c>
      <c r="C22" s="8">
        <v>1.9199999999999999</v>
      </c>
      <c r="D22" s="8">
        <v>29.75</v>
      </c>
      <c r="E22" s="9" t="s">
        <v>38</v>
      </c>
    </row>
    <row r="23" ht="14.25">
      <c r="A23" s="10" t="s">
        <v>39</v>
      </c>
      <c r="B23" s="8">
        <v>0.78000000000000003</v>
      </c>
      <c r="C23" s="8">
        <v>1.9199999999999999</v>
      </c>
      <c r="D23" s="8">
        <v>39.829999999999998</v>
      </c>
      <c r="E23" s="9" t="s">
        <v>40</v>
      </c>
    </row>
    <row r="25" ht="14.25"/>
    <row r="26" ht="14.25">
      <c r="A26" t="s">
        <v>41</v>
      </c>
    </row>
    <row r="27" ht="14.25"/>
    <row r="28" ht="14.25">
      <c r="C28" t="s">
        <v>42</v>
      </c>
      <c r="D28" t="s">
        <v>43</v>
      </c>
      <c r="E28" t="s">
        <v>44</v>
      </c>
    </row>
    <row r="29" ht="14.25">
      <c r="A29" t="s">
        <v>45</v>
      </c>
      <c r="B29" t="s">
        <v>46</v>
      </c>
      <c r="C29" t="s">
        <v>47</v>
      </c>
      <c r="D29" s="5" t="s">
        <v>48</v>
      </c>
      <c r="E29" t="s">
        <v>49</v>
      </c>
    </row>
    <row r="30" ht="14.25">
      <c r="B30" t="s">
        <v>50</v>
      </c>
      <c r="C30" t="s">
        <v>51</v>
      </c>
      <c r="D30" t="s">
        <v>52</v>
      </c>
      <c r="E30" t="s">
        <v>53</v>
      </c>
    </row>
    <row r="31" ht="14.25">
      <c r="B31" t="s">
        <v>54</v>
      </c>
      <c r="C31" t="s">
        <v>55</v>
      </c>
      <c r="D31" t="s">
        <v>52</v>
      </c>
      <c r="E31" s="5" t="s">
        <v>56</v>
      </c>
    </row>
    <row r="32" ht="14.25"/>
    <row r="33" ht="14.25"/>
    <row r="34" ht="14.25"/>
    <row r="35" ht="14.25">
      <c r="A35" s="11" t="s">
        <v>57</v>
      </c>
      <c r="H35" t="s">
        <v>58</v>
      </c>
    </row>
    <row r="36" ht="14.25">
      <c r="C36" t="str">
        <f>C1</f>
        <v>stylegan3-t</v>
      </c>
    </row>
    <row r="37" ht="14.25">
      <c r="A37" t="s">
        <v>59</v>
      </c>
      <c r="C37" s="12">
        <f>C2/C14</f>
        <v>5.6553672316384178</v>
      </c>
    </row>
    <row r="38" ht="14.25">
      <c r="A38" s="4" t="s">
        <v>60</v>
      </c>
      <c r="C38" s="12">
        <f>C4/C15</f>
        <v>5.3085714285714278</v>
      </c>
      <c r="D38" t="s">
        <v>61</v>
      </c>
    </row>
    <row r="39" ht="14.25">
      <c r="A39" s="4" t="s">
        <v>62</v>
      </c>
      <c r="C39" s="12">
        <f>C6/C16</f>
        <v>4.6784565916398719</v>
      </c>
      <c r="D39" s="5"/>
    </row>
    <row r="40" ht="14.25">
      <c r="A40" s="4" t="s">
        <v>63</v>
      </c>
      <c r="C40" s="12">
        <f>C7/C17</f>
        <v>4.665594855305466</v>
      </c>
      <c r="D40" s="5" t="s">
        <v>64</v>
      </c>
    </row>
    <row r="41" ht="14.25">
      <c r="A41" s="5" t="s">
        <v>65</v>
      </c>
      <c r="C41" s="12">
        <f>C8/C18</f>
        <v>11.163043478260869</v>
      </c>
    </row>
    <row r="42" ht="14.25">
      <c r="A42" t="s">
        <v>65</v>
      </c>
      <c r="C42" s="12">
        <f>C9/C19</f>
        <v>11.237113402061857</v>
      </c>
      <c r="D42" s="5" t="s">
        <v>66</v>
      </c>
    </row>
    <row r="43" ht="14.25">
      <c r="A43" s="4" t="s">
        <v>67</v>
      </c>
      <c r="C43" s="12">
        <f>C10/C20</f>
        <v>8.5853658536585371</v>
      </c>
    </row>
    <row r="44" ht="14.25">
      <c r="A44" s="4" t="s">
        <v>68</v>
      </c>
      <c r="C44" s="12">
        <f>C11/C21</f>
        <v>8</v>
      </c>
    </row>
    <row r="45" ht="14.25">
      <c r="A45" s="7" t="s">
        <v>69</v>
      </c>
      <c r="C45" s="12">
        <f>C12/C22</f>
        <v>9.3697916666666661</v>
      </c>
    </row>
    <row r="46" ht="14.25">
      <c r="A46" s="7" t="s">
        <v>70</v>
      </c>
      <c r="C46" s="12">
        <f>C13/C23</f>
        <v>9.6458333333333339</v>
      </c>
    </row>
    <row r="47" ht="14.25">
      <c r="C47" s="12"/>
    </row>
    <row r="48" ht="14.25"/>
    <row r="49" ht="14.25"/>
    <row r="50" ht="14.25"/>
    <row r="51" ht="14.25"/>
    <row r="52" ht="14.25"/>
    <row r="54" ht="14.25"/>
    <row r="55" ht="14.25"/>
    <row r="56" ht="14.25"/>
    <row r="57" ht="14.25"/>
    <row r="58" ht="14.25"/>
    <row r="59" ht="14.25"/>
    <row r="60" ht="14.25"/>
    <row r="61" ht="14.25"/>
    <row r="62" ht="14.25"/>
    <row r="63" ht="14.25"/>
    <row r="64" ht="14.25"/>
    <row r="65" ht="14.25"/>
    <row r="66" ht="14.25">
      <c r="A66" s="11" t="s">
        <v>71</v>
      </c>
    </row>
    <row r="67" ht="14.25">
      <c r="C67" t="str">
        <f>C1</f>
        <v>stylegan3-t</v>
      </c>
    </row>
    <row r="68" ht="14.25">
      <c r="A68" s="1" t="s">
        <v>72</v>
      </c>
      <c r="B68" s="1"/>
      <c r="C68" s="13">
        <f>C14/C18</f>
        <v>1.9239130434782608</v>
      </c>
    </row>
    <row r="69" ht="14.25">
      <c r="A69" s="6" t="s">
        <v>73</v>
      </c>
      <c r="C69" s="3">
        <f>C14/C20</f>
        <v>2.1585365853658538</v>
      </c>
      <c r="D69" s="14" t="s">
        <v>74</v>
      </c>
      <c r="E69" s="14"/>
      <c r="F69" s="14"/>
    </row>
    <row r="70" ht="14.25">
      <c r="A70" s="6" t="s">
        <v>75</v>
      </c>
      <c r="C70" s="3">
        <f>C15/C21</f>
        <v>1.8421052631578949</v>
      </c>
      <c r="D70" s="14"/>
      <c r="E70" s="14"/>
      <c r="F70" s="14"/>
    </row>
    <row r="71" ht="14.25">
      <c r="A71" s="1" t="s">
        <v>76</v>
      </c>
      <c r="B71" s="1"/>
      <c r="C71" s="13">
        <f>C14/C22</f>
        <v>0.921875</v>
      </c>
    </row>
    <row r="72" ht="14.25">
      <c r="A72" s="6" t="s">
        <v>77</v>
      </c>
      <c r="C72" s="3">
        <f>C15/C23</f>
        <v>0.91145833333333337</v>
      </c>
      <c r="D72" s="15" t="s">
        <v>78</v>
      </c>
      <c r="E72" s="15"/>
      <c r="F72" s="15"/>
    </row>
    <row r="73" ht="14.25">
      <c r="C73" s="3"/>
    </row>
    <row r="74" ht="14.25"/>
    <row r="75" ht="14.25"/>
    <row r="76" ht="14.25"/>
    <row r="82" ht="14.25">
      <c r="H82" t="s">
        <v>79</v>
      </c>
    </row>
    <row r="83" ht="14.25">
      <c r="H83" t="s">
        <v>80</v>
      </c>
    </row>
    <row r="84" ht="14.25">
      <c r="H84" t="s">
        <v>81</v>
      </c>
    </row>
    <row r="85" ht="14.25">
      <c r="H85" t="s">
        <v>82</v>
      </c>
    </row>
    <row r="86" ht="14.25">
      <c r="H86" t="s">
        <v>83</v>
      </c>
    </row>
    <row r="87" ht="14.25">
      <c r="H87" t="s">
        <v>84</v>
      </c>
    </row>
  </sheetData>
  <mergeCells count="3">
    <mergeCell ref="T1:T3"/>
    <mergeCell ref="D69:F70"/>
    <mergeCell ref="D72:F72"/>
  </mergeCells>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pane xSplit="1" ySplit="1" topLeftCell="B2" activePane="bottomRight" state="frozen"/>
      <selection activeCell="A1" activeCellId="0" sqref="A1"/>
    </sheetView>
  </sheetViews>
  <sheetFormatPr defaultRowHeight="15"/>
  <cols>
    <col customWidth="1" min="1" max="1" width="44.421875"/>
    <col bestFit="1" min="2" max="2" style="16" width="9.7109375"/>
    <col bestFit="1" min="3" max="3" width="12.140625"/>
    <col bestFit="1" min="4" max="4" width="13.7109375"/>
    <col bestFit="1" min="5" max="5" width="5.28125"/>
    <col bestFit="1" min="6" max="6" width="12.00390625"/>
    <col bestFit="1" min="7" max="8" width="6.8515625"/>
    <col bestFit="1" min="9" max="9" width="7.8515625"/>
    <col bestFit="1" min="10" max="10" width="21.140625"/>
    <col bestFit="1" min="11" max="11" width="24.28125"/>
    <col bestFit="1" min="12" max="13" width="18.8515625"/>
    <col bestFit="1" min="14" max="14" width="10.421875"/>
    <col bestFit="1" min="15" max="15" width="12.140625"/>
    <col bestFit="1" min="16" max="18" width="10.421875"/>
    <col bestFit="1" min="19" max="19" width="15.7109375"/>
    <col bestFit="1" min="20" max="20" width="17.8515625"/>
    <col bestFit="1" min="21" max="21" width="16.00390625"/>
    <col bestFit="1" min="22" max="22" width="15.7109375"/>
    <col bestFit="1" min="23" max="23" width="15.57421875"/>
    <col bestFit="1" min="24" max="24" width="7.8515625"/>
    <col bestFit="1" min="25" max="26" width="7.28125"/>
    <col bestFit="1" min="27" max="27" width="6.28125"/>
    <col bestFit="1" min="28" max="28" width="11.421875"/>
    <col bestFit="1" min="29" max="29" width="11.7109375"/>
    <col bestFit="1" min="30" max="30" width="20.00390625"/>
    <col bestFit="1" min="31" max="31" style="17" width="12.00390625"/>
    <col bestFit="1" min="32" max="32" width="9.421875"/>
    <col bestFit="1" min="33" max="33" width="13.140625"/>
    <col bestFit="1" min="34" max="34" width="7.140625"/>
    <col bestFit="1" min="35" max="35" width="12.00390625"/>
    <col bestFit="1" min="36" max="36" width="15.7109375"/>
    <col bestFit="1" min="37" max="37" width="9.7109375"/>
  </cols>
  <sheetData>
    <row r="1">
      <c r="A1" t="s">
        <v>85</v>
      </c>
      <c r="B1" s="16" t="s">
        <v>86</v>
      </c>
      <c r="C1" t="s">
        <v>87</v>
      </c>
      <c r="D1" t="s">
        <v>88</v>
      </c>
      <c r="E1" t="s">
        <v>89</v>
      </c>
      <c r="F1" t="s">
        <v>90</v>
      </c>
      <c r="G1" t="s">
        <v>91</v>
      </c>
      <c r="H1" t="s">
        <v>92</v>
      </c>
      <c r="I1" t="s">
        <v>93</v>
      </c>
      <c r="J1" t="s">
        <v>94</v>
      </c>
      <c r="K1" t="s">
        <v>95</v>
      </c>
      <c r="L1" t="s">
        <v>96</v>
      </c>
      <c r="M1" t="s">
        <v>97</v>
      </c>
      <c r="N1" t="s">
        <v>98</v>
      </c>
      <c r="O1" t="s">
        <v>99</v>
      </c>
      <c r="P1" t="s">
        <v>100</v>
      </c>
      <c r="Q1" t="s">
        <v>101</v>
      </c>
      <c r="R1" t="s">
        <v>102</v>
      </c>
      <c r="S1" t="s">
        <v>103</v>
      </c>
      <c r="T1" t="s">
        <v>104</v>
      </c>
      <c r="U1" t="s">
        <v>105</v>
      </c>
      <c r="V1" t="s">
        <v>106</v>
      </c>
      <c r="W1" t="s">
        <v>107</v>
      </c>
      <c r="X1" t="s">
        <v>108</v>
      </c>
      <c r="Y1" t="s">
        <v>109</v>
      </c>
      <c r="Z1" t="s">
        <v>108</v>
      </c>
      <c r="AA1" t="s">
        <v>109</v>
      </c>
      <c r="AB1" t="s">
        <v>110</v>
      </c>
      <c r="AC1" t="s">
        <v>111</v>
      </c>
      <c r="AD1" s="15" t="s">
        <v>112</v>
      </c>
      <c r="AE1" s="18" t="s">
        <v>113</v>
      </c>
      <c r="AF1" t="s">
        <v>114</v>
      </c>
      <c r="AG1" t="s">
        <v>115</v>
      </c>
      <c r="AH1" t="s">
        <v>116</v>
      </c>
      <c r="AI1" t="s">
        <v>117</v>
      </c>
      <c r="AJ1" t="s">
        <v>118</v>
      </c>
      <c r="AK1" t="s">
        <v>119</v>
      </c>
    </row>
    <row r="2">
      <c r="A2" t="s">
        <v>120</v>
      </c>
      <c r="B2" s="16" t="s">
        <v>121</v>
      </c>
      <c r="C2" t="s">
        <v>122</v>
      </c>
      <c r="D2">
        <v>0</v>
      </c>
      <c r="E2" t="s">
        <v>123</v>
      </c>
      <c r="F2">
        <v>0</v>
      </c>
      <c r="G2" s="19">
        <v>0.001</v>
      </c>
      <c r="H2" s="19">
        <v>0.001</v>
      </c>
      <c r="I2" s="19">
        <v>0.997</v>
      </c>
      <c r="J2" s="19">
        <v>0.002</v>
      </c>
      <c r="K2" s="20">
        <v>81358429</v>
      </c>
      <c r="L2" s="19">
        <v>0</v>
      </c>
      <c r="M2" s="21">
        <v>0</v>
      </c>
      <c r="N2" s="19">
        <v>0</v>
      </c>
      <c r="O2" s="19">
        <v>0</v>
      </c>
      <c r="P2" s="19">
        <v>0.001</v>
      </c>
      <c r="Q2" s="19">
        <v>0.001</v>
      </c>
      <c r="R2" s="21">
        <v>0</v>
      </c>
      <c r="S2" s="20">
        <v>14375973466</v>
      </c>
      <c r="T2" s="20">
        <v>2632905879</v>
      </c>
      <c r="U2" s="20">
        <v>80231520867</v>
      </c>
      <c r="V2" s="20">
        <v>58102712209</v>
      </c>
      <c r="W2" s="20">
        <v>1907064</v>
      </c>
      <c r="X2">
        <v>2.5750000000000002</v>
      </c>
      <c r="Y2">
        <v>1.155</v>
      </c>
      <c r="Z2">
        <v>0.48399999999999999</v>
      </c>
      <c r="AA2">
        <v>0.73499999999999999</v>
      </c>
      <c r="AB2" s="20">
        <v>112471205</v>
      </c>
      <c r="AC2">
        <v>0</v>
      </c>
      <c r="AD2" s="22" t="str">
        <f>LEFT(A2,18)</f>
        <v>[Unknown]</v>
      </c>
      <c r="AE2" s="23">
        <f>0+SUBSTITUTE(B2,"s","")*1000</f>
        <v>0</v>
      </c>
      <c r="AH2">
        <f>1-AF2-AG2</f>
        <v>1</v>
      </c>
      <c r="AI2" s="23">
        <f>AF2*$AE2</f>
        <v>0</v>
      </c>
      <c r="AJ2" s="23">
        <f>AG2*$AE2</f>
        <v>0</v>
      </c>
      <c r="AK2" s="23">
        <f>AH2*$AE2</f>
        <v>0</v>
      </c>
    </row>
    <row r="3" s="11" customFormat="1">
      <c r="A3" s="11" t="s">
        <v>124</v>
      </c>
      <c r="B3" s="24" t="s">
        <v>125</v>
      </c>
      <c r="C3" s="11" t="s">
        <v>126</v>
      </c>
      <c r="D3" s="11">
        <v>2</v>
      </c>
      <c r="E3" s="11" t="s">
        <v>123</v>
      </c>
      <c r="F3" s="11">
        <v>0</v>
      </c>
      <c r="G3" s="25">
        <v>0</v>
      </c>
      <c r="H3" s="25">
        <v>0</v>
      </c>
      <c r="I3" s="25">
        <v>1</v>
      </c>
      <c r="J3" s="25">
        <v>0</v>
      </c>
      <c r="K3" s="26">
        <v>0</v>
      </c>
      <c r="L3" s="25">
        <v>0</v>
      </c>
      <c r="M3" s="27">
        <v>0</v>
      </c>
      <c r="N3" s="25">
        <v>0</v>
      </c>
      <c r="O3" s="25">
        <v>0</v>
      </c>
      <c r="P3" s="25">
        <v>0</v>
      </c>
      <c r="Q3" s="25">
        <v>0</v>
      </c>
      <c r="R3" s="27">
        <v>0</v>
      </c>
      <c r="S3" s="26">
        <v>0</v>
      </c>
      <c r="T3" s="26">
        <v>0</v>
      </c>
      <c r="U3" s="26">
        <v>0</v>
      </c>
      <c r="V3" s="26">
        <v>0</v>
      </c>
      <c r="W3" s="26">
        <v>0</v>
      </c>
      <c r="X3" s="11">
        <v>0</v>
      </c>
      <c r="Y3" s="11">
        <v>0</v>
      </c>
      <c r="Z3" s="11">
        <v>0</v>
      </c>
      <c r="AA3" s="11">
        <v>0</v>
      </c>
      <c r="AB3" s="26">
        <v>0</v>
      </c>
      <c r="AC3" s="11">
        <v>0</v>
      </c>
      <c r="AD3" s="22" t="str">
        <f>LEFT(A3,18)</f>
        <v>bias_act_kernel_la</v>
      </c>
      <c r="AE3" s="23">
        <f>0+SUBSTITUTE(B3,"s","")</f>
        <v>0</v>
      </c>
      <c r="AF3" s="11">
        <v>1</v>
      </c>
      <c r="AG3" s="11"/>
      <c r="AH3">
        <f>1-AF3-AG3</f>
        <v>0</v>
      </c>
      <c r="AI3" s="23">
        <f>AF3*$AE3</f>
        <v>0</v>
      </c>
      <c r="AJ3" s="23">
        <f>AG3*$AE3</f>
        <v>0</v>
      </c>
      <c r="AK3" s="23">
        <f>AH3*$AE3</f>
        <v>0</v>
      </c>
    </row>
    <row r="4">
      <c r="A4" t="s">
        <v>127</v>
      </c>
      <c r="B4" s="16" t="s">
        <v>128</v>
      </c>
      <c r="C4" t="s">
        <v>129</v>
      </c>
      <c r="D4" s="20">
        <v>2904</v>
      </c>
      <c r="E4" t="s">
        <v>123</v>
      </c>
      <c r="F4">
        <v>0</v>
      </c>
      <c r="G4" s="19">
        <v>0.30199999999999999</v>
      </c>
      <c r="H4" s="19">
        <v>0.20699999999999999</v>
      </c>
      <c r="I4" s="19">
        <v>0.49099999999999999</v>
      </c>
      <c r="J4" s="19">
        <v>0.45700000000000002</v>
      </c>
      <c r="K4" s="20">
        <v>30705047</v>
      </c>
      <c r="L4" s="19">
        <v>0.057999999999999996</v>
      </c>
      <c r="M4" s="21">
        <v>0</v>
      </c>
      <c r="N4" s="19">
        <v>0.013000000000000001</v>
      </c>
      <c r="O4" s="19">
        <v>0.001</v>
      </c>
      <c r="P4" s="19">
        <v>0.24100000000000002</v>
      </c>
      <c r="Q4" s="19">
        <v>0.115</v>
      </c>
      <c r="R4" s="21">
        <v>0</v>
      </c>
      <c r="S4" s="20">
        <v>2153439372</v>
      </c>
      <c r="T4" s="20">
        <v>135509549</v>
      </c>
      <c r="U4" s="20">
        <v>39315030444</v>
      </c>
      <c r="V4" s="20">
        <v>18699802729</v>
      </c>
      <c r="W4">
        <v>0</v>
      </c>
      <c r="X4">
        <v>374.69600000000003</v>
      </c>
      <c r="Y4">
        <v>132.91999999999999</v>
      </c>
      <c r="Z4">
        <v>93.299999999999997</v>
      </c>
      <c r="AA4">
        <v>48.078000000000003</v>
      </c>
      <c r="AB4" s="20">
        <v>249728</v>
      </c>
      <c r="AC4">
        <v>0</v>
      </c>
      <c r="AD4" s="22" t="str">
        <f>LEFT(A4,18)</f>
        <v>conv_reorder</v>
      </c>
      <c r="AE4" s="23">
        <f>0+SUBSTITUTE(B4,"s","")</f>
        <v>0.24199999999999999</v>
      </c>
      <c r="AH4">
        <f>1-AF4-AG4</f>
        <v>1</v>
      </c>
      <c r="AI4" s="23">
        <f>AF4*$AE4</f>
        <v>0</v>
      </c>
      <c r="AJ4" s="23">
        <f>AG4*$AE4</f>
        <v>0</v>
      </c>
      <c r="AK4" s="23">
        <f>AH4*$AE4</f>
        <v>0.24199999999999999</v>
      </c>
    </row>
    <row r="5">
      <c r="A5" t="s">
        <v>130</v>
      </c>
      <c r="B5" s="16" t="s">
        <v>125</v>
      </c>
      <c r="C5" t="s">
        <v>131</v>
      </c>
      <c r="D5">
        <v>132</v>
      </c>
      <c r="E5" t="s">
        <v>123</v>
      </c>
      <c r="F5">
        <v>0</v>
      </c>
      <c r="G5" s="19">
        <v>0</v>
      </c>
      <c r="H5" s="19">
        <v>0</v>
      </c>
      <c r="I5" s="19">
        <v>1</v>
      </c>
      <c r="J5" s="19">
        <v>0</v>
      </c>
      <c r="K5" s="20">
        <v>0</v>
      </c>
      <c r="L5" s="19">
        <v>0</v>
      </c>
      <c r="M5" s="21">
        <v>0</v>
      </c>
      <c r="N5" s="21">
        <v>0</v>
      </c>
      <c r="O5" s="19">
        <v>0</v>
      </c>
      <c r="P5" s="19">
        <v>0</v>
      </c>
      <c r="Q5" s="21">
        <v>0</v>
      </c>
      <c r="R5" s="21">
        <v>0</v>
      </c>
      <c r="S5" s="20">
        <v>0</v>
      </c>
      <c r="T5" s="20">
        <v>0</v>
      </c>
      <c r="U5" s="20">
        <v>0</v>
      </c>
      <c r="V5" s="20">
        <v>0</v>
      </c>
      <c r="W5" s="20">
        <v>0</v>
      </c>
      <c r="X5">
        <v>0</v>
      </c>
      <c r="Y5">
        <v>0</v>
      </c>
      <c r="Z5">
        <v>0</v>
      </c>
      <c r="AA5">
        <v>0</v>
      </c>
      <c r="AB5" s="20">
        <v>0</v>
      </c>
      <c r="AC5">
        <v>0</v>
      </c>
      <c r="AD5" s="22" t="str">
        <f>LEFT(A5,18)</f>
        <v>DpcppElementwiseKe</v>
      </c>
      <c r="AE5" s="23">
        <f>0+SUBSTITUTE(B5,"s","")</f>
        <v>0</v>
      </c>
      <c r="AH5">
        <f>1-AF5-AG5</f>
        <v>1</v>
      </c>
      <c r="AI5" s="23">
        <f>AF5*$AE5</f>
        <v>0</v>
      </c>
      <c r="AJ5" s="23">
        <f>AG5*$AE5</f>
        <v>0</v>
      </c>
      <c r="AK5" s="23">
        <f>AH5*$AE5</f>
        <v>0</v>
      </c>
    </row>
    <row r="6">
      <c r="A6" t="s">
        <v>132</v>
      </c>
      <c r="B6" s="16" t="s">
        <v>125</v>
      </c>
      <c r="C6" t="s">
        <v>133</v>
      </c>
      <c r="D6">
        <v>66</v>
      </c>
      <c r="E6" t="s">
        <v>123</v>
      </c>
      <c r="F6">
        <v>0</v>
      </c>
      <c r="G6" s="21">
        <v>0</v>
      </c>
      <c r="H6" s="21">
        <v>0</v>
      </c>
      <c r="I6" s="21">
        <v>1</v>
      </c>
      <c r="J6" s="21">
        <v>0</v>
      </c>
      <c r="K6">
        <v>49</v>
      </c>
      <c r="L6" s="21">
        <v>0</v>
      </c>
      <c r="M6" s="21">
        <v>0</v>
      </c>
      <c r="N6" s="21">
        <v>0</v>
      </c>
      <c r="O6" s="21">
        <v>0</v>
      </c>
      <c r="P6" s="21">
        <v>0</v>
      </c>
      <c r="Q6" s="21">
        <v>0</v>
      </c>
      <c r="R6" s="21">
        <v>0</v>
      </c>
      <c r="S6" s="20">
        <v>1343</v>
      </c>
      <c r="T6">
        <v>443</v>
      </c>
      <c r="U6" s="20">
        <v>2457</v>
      </c>
      <c r="V6" s="20">
        <v>6999</v>
      </c>
      <c r="W6">
        <v>0</v>
      </c>
      <c r="X6">
        <v>0.248</v>
      </c>
      <c r="Y6">
        <v>0.035999999999999997</v>
      </c>
      <c r="Z6">
        <v>0.53400000000000003</v>
      </c>
      <c r="AA6">
        <v>0.28699999999999998</v>
      </c>
      <c r="AB6">
        <v>96</v>
      </c>
      <c r="AC6">
        <v>0</v>
      </c>
      <c r="AD6" s="22" t="str">
        <f>LEFT(A6,18)</f>
        <v>ElementwiseKernelF</v>
      </c>
      <c r="AE6" s="23">
        <f>0+SUBSTITUTE(B6,"s","")</f>
        <v>0</v>
      </c>
      <c r="AH6">
        <f>1-AF6-AG6</f>
        <v>1</v>
      </c>
      <c r="AI6" s="23">
        <f>AF6*$AE6</f>
        <v>0</v>
      </c>
      <c r="AJ6" s="23">
        <f>AG6*$AE6</f>
        <v>0</v>
      </c>
      <c r="AK6" s="23">
        <f>AH6*$AE6</f>
        <v>0</v>
      </c>
    </row>
    <row r="7">
      <c r="A7" t="s">
        <v>134</v>
      </c>
      <c r="B7" s="16" t="s">
        <v>135</v>
      </c>
      <c r="C7" t="s">
        <v>136</v>
      </c>
      <c r="D7" s="20">
        <v>4753</v>
      </c>
      <c r="E7" t="s">
        <v>123</v>
      </c>
      <c r="F7">
        <v>0</v>
      </c>
      <c r="G7" s="21">
        <v>0.034000000000000002</v>
      </c>
      <c r="H7" s="21">
        <v>0.050000000000000003</v>
      </c>
      <c r="I7" s="21">
        <v>0.91599999999999993</v>
      </c>
      <c r="J7" s="21">
        <v>0.068000000000000005</v>
      </c>
      <c r="K7" s="20">
        <v>2285894</v>
      </c>
      <c r="L7" s="21">
        <v>0.001</v>
      </c>
      <c r="M7" s="21">
        <v>0</v>
      </c>
      <c r="N7" s="21">
        <v>0.0050000000000000001</v>
      </c>
      <c r="O7" s="21">
        <v>0.001</v>
      </c>
      <c r="P7" s="21">
        <v>0.0050000000000000001</v>
      </c>
      <c r="Q7" s="21">
        <v>0.027999999999999997</v>
      </c>
      <c r="R7" s="21">
        <v>0</v>
      </c>
      <c r="S7" s="20">
        <v>158746076</v>
      </c>
      <c r="T7" s="20">
        <v>35459544</v>
      </c>
      <c r="U7" s="20">
        <v>152360436</v>
      </c>
      <c r="V7" s="20">
        <v>937047387</v>
      </c>
      <c r="W7" s="20">
        <v>4724</v>
      </c>
      <c r="X7">
        <v>67.802999999999997</v>
      </c>
      <c r="Y7">
        <v>38.603000000000002</v>
      </c>
      <c r="Z7">
        <v>13.045999999999999</v>
      </c>
      <c r="AA7">
        <v>18.559999999999999</v>
      </c>
      <c r="AB7" s="20">
        <v>202229</v>
      </c>
      <c r="AC7">
        <v>0</v>
      </c>
      <c r="AD7" s="22" t="str">
        <f>LEFT(A7,18)</f>
        <v>ElementwiseKernelF</v>
      </c>
      <c r="AE7" s="23">
        <f>0+SUBSTITUTE(B7,"s","")</f>
        <v>0.050000000000000003</v>
      </c>
      <c r="AH7">
        <f>1-AF7-AG7</f>
        <v>1</v>
      </c>
      <c r="AI7" s="23">
        <f>AF7*$AE7</f>
        <v>0</v>
      </c>
      <c r="AJ7" s="23">
        <f>AG7*$AE7</f>
        <v>0</v>
      </c>
      <c r="AK7" s="23">
        <f>AH7*$AE7</f>
        <v>0.050000000000000003</v>
      </c>
    </row>
    <row r="8">
      <c r="A8" t="s">
        <v>137</v>
      </c>
      <c r="B8" s="16" t="s">
        <v>138</v>
      </c>
      <c r="C8" t="s">
        <v>131</v>
      </c>
      <c r="D8">
        <v>264</v>
      </c>
      <c r="E8" t="s">
        <v>123</v>
      </c>
      <c r="F8">
        <v>0</v>
      </c>
      <c r="G8" s="21">
        <v>0</v>
      </c>
      <c r="H8" s="19">
        <v>0.001</v>
      </c>
      <c r="I8" s="19">
        <v>0.99900000000000011</v>
      </c>
      <c r="J8" s="21">
        <v>0</v>
      </c>
      <c r="K8">
        <v>326</v>
      </c>
      <c r="L8" s="21">
        <v>0</v>
      </c>
      <c r="M8" s="21">
        <v>0</v>
      </c>
      <c r="N8" s="21">
        <v>0</v>
      </c>
      <c r="O8" s="21">
        <v>0</v>
      </c>
      <c r="P8" s="21">
        <v>0</v>
      </c>
      <c r="Q8" s="21">
        <v>0</v>
      </c>
      <c r="R8" s="21">
        <v>0</v>
      </c>
      <c r="S8" s="20">
        <v>5110</v>
      </c>
      <c r="T8" s="20">
        <v>3218</v>
      </c>
      <c r="U8" s="20">
        <v>10760</v>
      </c>
      <c r="V8" s="20">
        <v>37432</v>
      </c>
      <c r="W8">
        <v>0</v>
      </c>
      <c r="X8">
        <v>0.89200000000000002</v>
      </c>
      <c r="Y8">
        <v>0.053999999999999999</v>
      </c>
      <c r="Z8">
        <v>0.68200000000000005</v>
      </c>
      <c r="AA8">
        <v>0.33500000000000002</v>
      </c>
      <c r="AB8">
        <v>192</v>
      </c>
      <c r="AC8">
        <v>0</v>
      </c>
      <c r="AD8" s="22" t="str">
        <f>LEFT(A8,18)</f>
        <v>ElementwiseKernelF</v>
      </c>
      <c r="AE8" s="23">
        <f>0+SUBSTITUTE(B8,"s","")</f>
        <v>0.001</v>
      </c>
      <c r="AH8">
        <f>1-AF8-AG8</f>
        <v>1</v>
      </c>
      <c r="AI8" s="23">
        <f>AF8*$AE8</f>
        <v>0</v>
      </c>
      <c r="AJ8" s="23">
        <f>AG8*$AE8</f>
        <v>0</v>
      </c>
      <c r="AK8" s="23">
        <f>AH8*$AE8</f>
        <v>0.001</v>
      </c>
    </row>
    <row r="9">
      <c r="A9" t="s">
        <v>139</v>
      </c>
      <c r="B9" s="16" t="s">
        <v>140</v>
      </c>
      <c r="C9" t="s">
        <v>141</v>
      </c>
      <c r="D9">
        <v>265</v>
      </c>
      <c r="E9" t="s">
        <v>123</v>
      </c>
      <c r="F9">
        <v>0</v>
      </c>
      <c r="G9" s="19">
        <v>0.032000000000000001</v>
      </c>
      <c r="H9" s="19">
        <v>0.036000000000000004</v>
      </c>
      <c r="I9" s="19">
        <v>0.93200000000000005</v>
      </c>
      <c r="J9" s="19">
        <v>0.057999999999999996</v>
      </c>
      <c r="K9" s="20">
        <v>178194</v>
      </c>
      <c r="L9" s="19">
        <v>0.001</v>
      </c>
      <c r="M9" s="21">
        <v>0</v>
      </c>
      <c r="N9" s="19">
        <v>0.0040000000000000001</v>
      </c>
      <c r="O9" s="19">
        <v>0.001</v>
      </c>
      <c r="P9" s="19">
        <v>0.002</v>
      </c>
      <c r="Q9" s="19">
        <v>0.028999999999999998</v>
      </c>
      <c r="R9" s="21">
        <v>0</v>
      </c>
      <c r="S9" s="20">
        <v>16091048</v>
      </c>
      <c r="T9" s="20">
        <v>3841682</v>
      </c>
      <c r="U9" s="20">
        <v>5706129</v>
      </c>
      <c r="V9" s="20">
        <v>104222359</v>
      </c>
      <c r="W9">
        <v>0</v>
      </c>
      <c r="X9">
        <v>97.647999999999996</v>
      </c>
      <c r="Y9">
        <v>62.136000000000003</v>
      </c>
      <c r="Z9">
        <v>9.9960000000000004</v>
      </c>
      <c r="AA9">
        <v>32.813000000000002</v>
      </c>
      <c r="AB9" s="20">
        <v>1728</v>
      </c>
      <c r="AC9">
        <v>0</v>
      </c>
      <c r="AD9" s="22" t="str">
        <f>LEFT(A9,18)</f>
        <v>ElementwiseKernelF</v>
      </c>
      <c r="AE9" s="23">
        <f>0+SUBSTITUTE(B9,"s","")</f>
        <v>0.0030000000000000001</v>
      </c>
      <c r="AH9">
        <f>1-AF9-AG9</f>
        <v>1</v>
      </c>
      <c r="AI9" s="23">
        <f>AF9*$AE9</f>
        <v>0</v>
      </c>
      <c r="AJ9" s="23">
        <f>AG9*$AE9</f>
        <v>0</v>
      </c>
      <c r="AK9" s="23">
        <f>AH9*$AE9</f>
        <v>0.0030000000000000001</v>
      </c>
    </row>
    <row r="10">
      <c r="A10" t="s">
        <v>142</v>
      </c>
      <c r="B10" s="16" t="s">
        <v>143</v>
      </c>
      <c r="C10" t="s">
        <v>136</v>
      </c>
      <c r="D10" s="20">
        <v>1520</v>
      </c>
      <c r="E10" t="s">
        <v>123</v>
      </c>
      <c r="F10">
        <v>0</v>
      </c>
      <c r="G10" s="19">
        <v>0.018000000000000002</v>
      </c>
      <c r="H10" s="19">
        <v>0.027999999999999997</v>
      </c>
      <c r="I10" s="19">
        <v>0.95299999999999996</v>
      </c>
      <c r="J10" s="19">
        <v>0.033000000000000002</v>
      </c>
      <c r="K10" s="20">
        <v>419690</v>
      </c>
      <c r="L10" s="19">
        <v>0.001</v>
      </c>
      <c r="M10" s="21">
        <v>0</v>
      </c>
      <c r="N10" s="19">
        <v>0.002</v>
      </c>
      <c r="O10" s="19">
        <v>0.001</v>
      </c>
      <c r="P10" s="19">
        <v>0.0080000000000000002</v>
      </c>
      <c r="Q10" s="21">
        <v>0.01</v>
      </c>
      <c r="R10" s="21">
        <v>0</v>
      </c>
      <c r="S10" s="20">
        <v>17405921</v>
      </c>
      <c r="T10" s="20">
        <v>6067092</v>
      </c>
      <c r="U10" s="20">
        <v>83455116</v>
      </c>
      <c r="V10" s="20">
        <v>105216702</v>
      </c>
      <c r="W10" s="20">
        <v>3553</v>
      </c>
      <c r="X10">
        <v>33.719999999999999</v>
      </c>
      <c r="Y10">
        <v>15.419</v>
      </c>
      <c r="Z10">
        <v>2.3100000000000001</v>
      </c>
      <c r="AA10">
        <v>10.742000000000001</v>
      </c>
      <c r="AB10" s="20">
        <v>91992</v>
      </c>
      <c r="AC10">
        <v>0</v>
      </c>
      <c r="AD10" s="22" t="str">
        <f>LEFT(A10,18)</f>
        <v>gemm_kernel</v>
      </c>
      <c r="AE10" s="23">
        <f>0+SUBSTITUTE(B10,"s","")</f>
        <v>0.016</v>
      </c>
      <c r="AH10">
        <f>1-AF10-AG10</f>
        <v>1</v>
      </c>
      <c r="AI10" s="23">
        <f>AF10*$AE10</f>
        <v>0</v>
      </c>
      <c r="AJ10" s="23">
        <f>AG10*$AE10</f>
        <v>0</v>
      </c>
      <c r="AK10" s="23">
        <f>AH10*$AE10</f>
        <v>0.016</v>
      </c>
    </row>
    <row r="11">
      <c r="A11" t="s">
        <v>144</v>
      </c>
      <c r="B11" s="16" t="s">
        <v>145</v>
      </c>
      <c r="C11" t="s">
        <v>146</v>
      </c>
      <c r="D11">
        <v>990</v>
      </c>
      <c r="E11" t="s">
        <v>123</v>
      </c>
      <c r="F11">
        <v>0</v>
      </c>
      <c r="G11" s="19">
        <v>0.82200000000000006</v>
      </c>
      <c r="H11" s="19">
        <v>0.08199999999999999</v>
      </c>
      <c r="I11" s="19">
        <v>0.096000000000000002</v>
      </c>
      <c r="J11" s="19">
        <v>0.88400000000000001</v>
      </c>
      <c r="K11" s="20">
        <v>69281964</v>
      </c>
      <c r="L11" s="19">
        <v>0.17699999999999999</v>
      </c>
      <c r="M11" s="21">
        <v>0</v>
      </c>
      <c r="N11" s="19">
        <v>0.028999999999999998</v>
      </c>
      <c r="O11" s="19">
        <v>0.002</v>
      </c>
      <c r="P11" s="19">
        <v>0.73799999999999999</v>
      </c>
      <c r="Q11" s="19">
        <v>0.25900000000000001</v>
      </c>
      <c r="R11" s="21">
        <v>0</v>
      </c>
      <c r="S11" s="20">
        <v>45607314543</v>
      </c>
      <c r="T11" s="20">
        <v>2606254007</v>
      </c>
      <c r="U11" s="20">
        <v>1155506554902</v>
      </c>
      <c r="V11" s="20">
        <v>405437435521</v>
      </c>
      <c r="W11">
        <v>0</v>
      </c>
      <c r="X11" s="28">
        <v>1052.1130000000001</v>
      </c>
      <c r="Y11">
        <v>40.718000000000004</v>
      </c>
      <c r="Z11">
        <v>23.821999999999999</v>
      </c>
      <c r="AA11">
        <v>35.320999999999998</v>
      </c>
      <c r="AB11" s="20">
        <v>8579839</v>
      </c>
      <c r="AC11">
        <v>0</v>
      </c>
      <c r="AD11" s="22" t="str">
        <f>LEFT(A11,18)</f>
        <v>gen_conv</v>
      </c>
      <c r="AE11" s="23">
        <f>0+SUBSTITUTE(B11,"s","")</f>
        <v>2.2999999999999998</v>
      </c>
      <c r="AH11">
        <f>1-AF11-AG11</f>
        <v>1</v>
      </c>
      <c r="AI11" s="23">
        <f>AF11*$AE11</f>
        <v>0</v>
      </c>
      <c r="AJ11" s="23">
        <f>AG11*$AE11</f>
        <v>0</v>
      </c>
      <c r="AK11" s="23">
        <f>AH11*$AE11</f>
        <v>2.2999999999999998</v>
      </c>
    </row>
    <row r="12">
      <c r="A12" t="s">
        <v>147</v>
      </c>
      <c r="B12" s="16" t="s">
        <v>148</v>
      </c>
      <c r="C12" t="s">
        <v>149</v>
      </c>
      <c r="D12">
        <v>924</v>
      </c>
      <c r="E12" t="s">
        <v>123</v>
      </c>
      <c r="F12">
        <v>0</v>
      </c>
      <c r="G12" s="19">
        <v>0.031</v>
      </c>
      <c r="H12" s="19">
        <v>0.044000000000000004</v>
      </c>
      <c r="I12" s="19">
        <v>0.92599999999999993</v>
      </c>
      <c r="J12" s="21">
        <v>0.059999999999999998</v>
      </c>
      <c r="K12" s="20">
        <v>734478</v>
      </c>
      <c r="L12" s="19">
        <v>0.001</v>
      </c>
      <c r="M12" s="21">
        <v>0</v>
      </c>
      <c r="N12" s="19">
        <v>0.0040000000000000001</v>
      </c>
      <c r="O12" s="19">
        <v>0.001</v>
      </c>
      <c r="P12" s="19">
        <v>0.0030000000000000001</v>
      </c>
      <c r="Q12" s="19">
        <v>0.026000000000000002</v>
      </c>
      <c r="R12" s="21">
        <v>0</v>
      </c>
      <c r="S12" s="20">
        <v>43284106</v>
      </c>
      <c r="T12" s="20">
        <v>9760446</v>
      </c>
      <c r="U12" s="20">
        <v>36581873</v>
      </c>
      <c r="V12" s="20">
        <v>279398165</v>
      </c>
      <c r="W12">
        <v>0</v>
      </c>
      <c r="X12">
        <v>49.109000000000002</v>
      </c>
      <c r="Y12">
        <v>31.129000000000001</v>
      </c>
      <c r="Z12">
        <v>8.3900000000000006</v>
      </c>
      <c r="AA12">
        <v>12.223000000000001</v>
      </c>
      <c r="AB12" s="20">
        <v>21000</v>
      </c>
      <c r="AC12">
        <v>0</v>
      </c>
      <c r="AD12" s="22" t="str">
        <f>LEFT(A12,18)</f>
        <v>reduce_kernel&lt;(int</v>
      </c>
      <c r="AE12" s="23">
        <f>0+SUBSTITUTE(B12,"s","")</f>
        <v>0.017999999999999999</v>
      </c>
      <c r="AH12">
        <f>1-AF12-AG12</f>
        <v>1</v>
      </c>
      <c r="AI12" s="23">
        <f>AF12*$AE12</f>
        <v>0</v>
      </c>
      <c r="AJ12" s="23">
        <f>AG12*$AE12</f>
        <v>0</v>
      </c>
      <c r="AK12" s="23">
        <f>AH12*$AE12</f>
        <v>0.017999999999999999</v>
      </c>
    </row>
    <row r="13">
      <c r="A13" t="s">
        <v>150</v>
      </c>
      <c r="B13" s="16" t="s">
        <v>151</v>
      </c>
      <c r="C13" t="s">
        <v>152</v>
      </c>
      <c r="D13">
        <v>132</v>
      </c>
      <c r="E13" t="s">
        <v>123</v>
      </c>
      <c r="F13">
        <v>0</v>
      </c>
      <c r="G13" s="21">
        <v>0</v>
      </c>
      <c r="H13" s="19">
        <v>0.001</v>
      </c>
      <c r="I13" s="19">
        <v>0.99900000000000011</v>
      </c>
      <c r="J13" s="21">
        <v>0</v>
      </c>
      <c r="K13">
        <v>346</v>
      </c>
      <c r="L13" s="21">
        <v>0</v>
      </c>
      <c r="M13" s="21">
        <v>0</v>
      </c>
      <c r="N13" s="21">
        <v>0</v>
      </c>
      <c r="O13" s="21">
        <v>0</v>
      </c>
      <c r="P13" s="21">
        <v>0</v>
      </c>
      <c r="Q13" s="21">
        <v>0</v>
      </c>
      <c r="R13" s="21">
        <v>0</v>
      </c>
      <c r="S13" s="20">
        <v>5670</v>
      </c>
      <c r="T13" s="20">
        <v>2656</v>
      </c>
      <c r="U13" s="20">
        <v>7002</v>
      </c>
      <c r="V13" s="20">
        <v>46070</v>
      </c>
      <c r="W13">
        <v>0</v>
      </c>
      <c r="X13">
        <v>1.21</v>
      </c>
      <c r="Y13">
        <v>0.029000000000000001</v>
      </c>
      <c r="Z13">
        <v>0.24299999999999999</v>
      </c>
      <c r="AA13">
        <v>0.11</v>
      </c>
      <c r="AB13">
        <v>192</v>
      </c>
      <c r="AC13">
        <v>0</v>
      </c>
      <c r="AD13" s="22" t="str">
        <f>LEFT(A13,18)</f>
        <v>reduce_kernel&lt;(int</v>
      </c>
      <c r="AE13" s="23">
        <f>0+SUBSTITUTE(B13,"s","")</f>
        <v>0.002</v>
      </c>
      <c r="AH13">
        <f>1-AF13-AG13</f>
        <v>1</v>
      </c>
      <c r="AI13" s="23">
        <f>AF13*$AE13</f>
        <v>0</v>
      </c>
      <c r="AJ13" s="23">
        <f>AG13*$AE13</f>
        <v>0</v>
      </c>
      <c r="AK13" s="23">
        <f>AH13*$AE13</f>
        <v>0.002</v>
      </c>
    </row>
    <row r="14">
      <c r="A14" t="s">
        <v>153</v>
      </c>
      <c r="B14" s="16" t="s">
        <v>154</v>
      </c>
      <c r="C14" t="s">
        <v>155</v>
      </c>
      <c r="D14" s="20">
        <v>1849</v>
      </c>
      <c r="E14" t="s">
        <v>123</v>
      </c>
      <c r="F14">
        <v>0</v>
      </c>
      <c r="G14" s="19">
        <v>0.0090000000000000011</v>
      </c>
      <c r="H14" s="19">
        <v>0.031</v>
      </c>
      <c r="I14" s="21">
        <v>0.95999999999999996</v>
      </c>
      <c r="J14" s="19">
        <v>0.027999999999999997</v>
      </c>
      <c r="K14" s="20">
        <v>565048</v>
      </c>
      <c r="L14" s="19">
        <v>0.001</v>
      </c>
      <c r="M14" s="21">
        <v>0</v>
      </c>
      <c r="N14" s="19">
        <v>0.002</v>
      </c>
      <c r="O14" s="21">
        <v>0</v>
      </c>
      <c r="P14" s="19">
        <v>0.0030000000000000001</v>
      </c>
      <c r="Q14" s="19">
        <v>0.0060000000000000001</v>
      </c>
      <c r="R14" s="21">
        <v>0</v>
      </c>
      <c r="S14" s="20">
        <v>33969743</v>
      </c>
      <c r="T14" s="20">
        <v>7118288</v>
      </c>
      <c r="U14" s="20">
        <v>42550745</v>
      </c>
      <c r="V14" s="20">
        <v>99654229</v>
      </c>
      <c r="W14" s="20">
        <v>10638</v>
      </c>
      <c r="X14">
        <v>23.163</v>
      </c>
      <c r="Y14">
        <v>15.269</v>
      </c>
      <c r="Z14">
        <v>11.564</v>
      </c>
      <c r="AA14">
        <v>11.798999999999999</v>
      </c>
      <c r="AB14" s="20">
        <v>226118</v>
      </c>
      <c r="AC14">
        <v>0</v>
      </c>
      <c r="AD14" s="22" t="str">
        <f>LEFT(A14,18)</f>
        <v>reduce_kernel&lt;(int</v>
      </c>
      <c r="AE14" s="23">
        <f>0+SUBSTITUTE(B14,"s","")</f>
        <v>0.023</v>
      </c>
      <c r="AH14">
        <f>1-AF14-AG14</f>
        <v>1</v>
      </c>
      <c r="AI14" s="23">
        <f>AF14*$AE14</f>
        <v>0</v>
      </c>
      <c r="AJ14" s="23">
        <f>AG14*$AE14</f>
        <v>0</v>
      </c>
      <c r="AK14" s="23">
        <f>AH14*$AE14</f>
        <v>0.023</v>
      </c>
    </row>
    <row r="15" s="11" customFormat="1">
      <c r="A15" s="11" t="s">
        <v>156</v>
      </c>
      <c r="B15" s="24" t="s">
        <v>140</v>
      </c>
      <c r="C15" s="11" t="s">
        <v>133</v>
      </c>
      <c r="D15" s="11">
        <v>594</v>
      </c>
      <c r="E15" s="11" t="s">
        <v>123</v>
      </c>
      <c r="F15" s="11">
        <v>0</v>
      </c>
      <c r="G15" s="25">
        <v>0.43099999999999999</v>
      </c>
      <c r="H15" s="25">
        <v>0.29799999999999999</v>
      </c>
      <c r="I15" s="25">
        <v>0.27100000000000002</v>
      </c>
      <c r="J15" s="25">
        <v>0.59799999999999998</v>
      </c>
      <c r="K15" s="26">
        <v>719310</v>
      </c>
      <c r="L15" s="25">
        <v>0.072999999999999995</v>
      </c>
      <c r="M15" s="27">
        <v>0</v>
      </c>
      <c r="N15" s="25">
        <v>0.017000000000000001</v>
      </c>
      <c r="O15" s="25">
        <v>0.001</v>
      </c>
      <c r="P15" s="25">
        <v>0.34600000000000003</v>
      </c>
      <c r="Q15" s="25">
        <v>0.153</v>
      </c>
      <c r="R15" s="27">
        <v>0</v>
      </c>
      <c r="S15" s="26">
        <v>38082482</v>
      </c>
      <c r="T15" s="26">
        <v>1769135</v>
      </c>
      <c r="U15" s="26">
        <v>763306227</v>
      </c>
      <c r="V15" s="26">
        <v>337970486</v>
      </c>
      <c r="W15" s="11">
        <v>0</v>
      </c>
      <c r="X15" s="11">
        <v>836.26400000000001</v>
      </c>
      <c r="Y15" s="11">
        <v>294.47699999999998</v>
      </c>
      <c r="Z15" s="11">
        <v>139.69200000000001</v>
      </c>
      <c r="AA15" s="11">
        <v>93.195999999999998</v>
      </c>
      <c r="AB15" s="11">
        <v>0</v>
      </c>
      <c r="AC15" s="11">
        <v>0</v>
      </c>
      <c r="AD15" s="22" t="str">
        <f>LEFT(A15,18)</f>
        <v>run_filtered_lrelu</v>
      </c>
      <c r="AE15" s="23">
        <f>0+SUBSTITUTE(B15,"s","")</f>
        <v>0.0030000000000000001</v>
      </c>
      <c r="AF15" s="11"/>
      <c r="AG15" s="11">
        <v>1</v>
      </c>
      <c r="AH15">
        <f>1-AF15-AG15</f>
        <v>0</v>
      </c>
      <c r="AI15" s="23">
        <f>AF15*$AE15</f>
        <v>0</v>
      </c>
      <c r="AJ15" s="23">
        <f>AG15*$AE15</f>
        <v>0.0030000000000000001</v>
      </c>
      <c r="AK15" s="23">
        <f>AH15*$AE15</f>
        <v>0</v>
      </c>
    </row>
    <row r="16" s="11" customFormat="1">
      <c r="A16" s="11" t="s">
        <v>157</v>
      </c>
      <c r="B16" s="24" t="s">
        <v>158</v>
      </c>
      <c r="C16" s="11" t="s">
        <v>159</v>
      </c>
      <c r="D16" s="11">
        <v>594</v>
      </c>
      <c r="E16" s="11" t="s">
        <v>123</v>
      </c>
      <c r="F16" s="11">
        <v>0</v>
      </c>
      <c r="G16" s="25">
        <v>0.375</v>
      </c>
      <c r="H16" s="25">
        <v>0.36200000000000004</v>
      </c>
      <c r="I16" s="25">
        <v>0.26300000000000001</v>
      </c>
      <c r="J16" s="25">
        <v>0.40799999999999997</v>
      </c>
      <c r="K16" s="26">
        <v>20754419</v>
      </c>
      <c r="L16" s="25">
        <v>0.036000000000000004</v>
      </c>
      <c r="M16" s="27">
        <v>0</v>
      </c>
      <c r="N16" s="25">
        <v>0.083000000000000004</v>
      </c>
      <c r="O16" s="25">
        <v>0.018000000000000002</v>
      </c>
      <c r="P16" s="25">
        <v>0.16200000000000001</v>
      </c>
      <c r="Q16" s="25">
        <v>0.19899999999999998</v>
      </c>
      <c r="R16" s="27">
        <v>0</v>
      </c>
      <c r="S16" s="26">
        <v>21510205232</v>
      </c>
      <c r="T16" s="26">
        <v>4753661188</v>
      </c>
      <c r="U16" s="26">
        <v>42084493248</v>
      </c>
      <c r="V16" s="26">
        <v>51767078959</v>
      </c>
      <c r="W16" s="26">
        <v>1598425</v>
      </c>
      <c r="X16" s="11">
        <v>152.77799999999999</v>
      </c>
      <c r="Y16" s="11">
        <v>156.005</v>
      </c>
      <c r="Z16" s="11">
        <v>67.016999999999996</v>
      </c>
      <c r="AA16" s="11">
        <v>94.007999999999996</v>
      </c>
      <c r="AB16" s="26">
        <v>207017134</v>
      </c>
      <c r="AC16" s="11">
        <v>0</v>
      </c>
      <c r="AD16" s="22" t="str">
        <f>LEFT(A16,18)</f>
        <v>run_filtered_lrelu</v>
      </c>
      <c r="AE16" s="23">
        <f>0+SUBSTITUTE(B16,"s","")</f>
        <v>0.38300000000000001</v>
      </c>
      <c r="AF16" s="11"/>
      <c r="AG16" s="11">
        <v>1</v>
      </c>
      <c r="AH16">
        <f>1-AF16-AG16</f>
        <v>0</v>
      </c>
      <c r="AI16" s="23">
        <f>AF16*$AE16</f>
        <v>0</v>
      </c>
      <c r="AJ16" s="23">
        <f>AG16*$AE16</f>
        <v>0.38300000000000001</v>
      </c>
      <c r="AK16" s="23">
        <f>AH16*$AE16</f>
        <v>0</v>
      </c>
    </row>
    <row r="17" s="11" customFormat="1">
      <c r="A17" s="11" t="s">
        <v>160</v>
      </c>
      <c r="B17" s="24" t="s">
        <v>151</v>
      </c>
      <c r="C17" s="11" t="s">
        <v>133</v>
      </c>
      <c r="D17" s="11">
        <v>330</v>
      </c>
      <c r="E17" s="11" t="s">
        <v>123</v>
      </c>
      <c r="F17" s="11">
        <v>0</v>
      </c>
      <c r="G17" s="25">
        <v>0.50900000000000001</v>
      </c>
      <c r="H17" s="25">
        <v>0.24399999999999999</v>
      </c>
      <c r="I17" s="25">
        <v>0.248</v>
      </c>
      <c r="J17" s="25">
        <v>0.51600000000000001</v>
      </c>
      <c r="K17" s="26">
        <v>372057</v>
      </c>
      <c r="L17" s="25">
        <v>0.088000000000000009</v>
      </c>
      <c r="M17" s="27">
        <v>0</v>
      </c>
      <c r="N17" s="25">
        <v>0.019</v>
      </c>
      <c r="O17" s="25">
        <v>0.001</v>
      </c>
      <c r="P17" s="25">
        <v>0.42100000000000004</v>
      </c>
      <c r="Q17" s="25">
        <v>0.17100000000000001</v>
      </c>
      <c r="R17" s="27">
        <v>0</v>
      </c>
      <c r="S17" s="26">
        <v>17395732</v>
      </c>
      <c r="T17" s="26">
        <v>743559</v>
      </c>
      <c r="U17" s="26">
        <v>383360250</v>
      </c>
      <c r="V17" s="26">
        <v>155483390</v>
      </c>
      <c r="W17" s="11">
        <v>0</v>
      </c>
      <c r="X17" s="11">
        <v>613.37800000000004</v>
      </c>
      <c r="Y17" s="11">
        <v>166.75999999999999</v>
      </c>
      <c r="Z17" s="11">
        <v>50.718000000000004</v>
      </c>
      <c r="AA17" s="11">
        <v>18.751999999999999</v>
      </c>
      <c r="AB17" s="11">
        <v>0</v>
      </c>
      <c r="AC17" s="11">
        <v>0</v>
      </c>
      <c r="AD17" s="22" t="str">
        <f>LEFT(A17,18)</f>
        <v>run_filtered_lrelu</v>
      </c>
      <c r="AE17" s="23">
        <f>0+SUBSTITUTE(B17,"s","")</f>
        <v>0.002</v>
      </c>
      <c r="AF17" s="11"/>
      <c r="AG17" s="11">
        <v>1</v>
      </c>
      <c r="AH17">
        <f>1-AF17-AG17</f>
        <v>0</v>
      </c>
      <c r="AI17" s="23">
        <f>AF17*$AE17</f>
        <v>0</v>
      </c>
      <c r="AJ17" s="23">
        <f>AG17*$AE17</f>
        <v>0.002</v>
      </c>
      <c r="AK17" s="23">
        <f>AH17*$AE17</f>
        <v>0</v>
      </c>
    </row>
    <row r="18" s="11" customFormat="1">
      <c r="A18" s="11" t="s">
        <v>161</v>
      </c>
      <c r="B18" s="24" t="s">
        <v>162</v>
      </c>
      <c r="C18" s="11" t="s">
        <v>163</v>
      </c>
      <c r="D18" s="11">
        <v>330</v>
      </c>
      <c r="E18" s="11" t="s">
        <v>123</v>
      </c>
      <c r="F18" s="11">
        <v>0</v>
      </c>
      <c r="G18" s="25">
        <v>0.41399999999999998</v>
      </c>
      <c r="H18" s="25">
        <v>0.29199999999999998</v>
      </c>
      <c r="I18" s="25">
        <v>0.29399999999999998</v>
      </c>
      <c r="J18" s="25">
        <v>0.36499999999999999</v>
      </c>
      <c r="K18" s="26">
        <v>18219699</v>
      </c>
      <c r="L18" s="25">
        <v>0.047</v>
      </c>
      <c r="M18" s="27">
        <v>0</v>
      </c>
      <c r="N18" s="27">
        <v>0.089999999999999997</v>
      </c>
      <c r="O18" s="25">
        <v>0.014999999999999999</v>
      </c>
      <c r="P18" s="25">
        <v>0.217</v>
      </c>
      <c r="Q18" s="27">
        <v>0.20000000000000001</v>
      </c>
      <c r="R18" s="27">
        <v>0</v>
      </c>
      <c r="S18" s="26">
        <v>13096082382</v>
      </c>
      <c r="T18" s="26">
        <v>2241058751</v>
      </c>
      <c r="U18" s="26">
        <v>31452929305</v>
      </c>
      <c r="V18" s="26">
        <v>29034149880</v>
      </c>
      <c r="W18" s="26">
        <v>1941573</v>
      </c>
      <c r="X18" s="11">
        <v>143.98400000000001</v>
      </c>
      <c r="Y18" s="11">
        <v>201.309</v>
      </c>
      <c r="Z18" s="11">
        <v>42.189</v>
      </c>
      <c r="AA18" s="11">
        <v>84.021000000000001</v>
      </c>
      <c r="AB18" s="26">
        <v>154394164</v>
      </c>
      <c r="AC18" s="11">
        <v>0</v>
      </c>
      <c r="AD18" s="22" t="str">
        <f>LEFT(A18,18)</f>
        <v>run_filtered_lrelu</v>
      </c>
      <c r="AE18" s="23">
        <f>0+SUBSTITUTE(B18,"s","")</f>
        <v>0.21199999999999999</v>
      </c>
      <c r="AF18" s="11"/>
      <c r="AG18" s="11">
        <v>1</v>
      </c>
      <c r="AH18">
        <f>1-AF18-AG18</f>
        <v>0</v>
      </c>
      <c r="AI18" s="23">
        <f>AF18*$AE18</f>
        <v>0</v>
      </c>
      <c r="AJ18" s="23">
        <f>AG18*$AE18</f>
        <v>0.21199999999999999</v>
      </c>
      <c r="AK18" s="23">
        <f>AH18*$AE18</f>
        <v>0</v>
      </c>
    </row>
    <row r="19" s="11" customFormat="1">
      <c r="A19" s="11" t="s">
        <v>164</v>
      </c>
      <c r="B19" s="24" t="s">
        <v>125</v>
      </c>
      <c r="C19" s="11" t="s">
        <v>133</v>
      </c>
      <c r="D19" s="11">
        <v>66</v>
      </c>
      <c r="E19" s="11" t="s">
        <v>123</v>
      </c>
      <c r="F19" s="11">
        <v>0</v>
      </c>
      <c r="G19" s="27">
        <v>0</v>
      </c>
      <c r="H19" s="27">
        <v>0</v>
      </c>
      <c r="I19" s="27">
        <v>1</v>
      </c>
      <c r="J19" s="27">
        <v>0</v>
      </c>
      <c r="K19" s="11">
        <v>0</v>
      </c>
      <c r="L19" s="27">
        <v>0</v>
      </c>
      <c r="M19" s="27">
        <v>0</v>
      </c>
      <c r="N19" s="27">
        <v>0</v>
      </c>
      <c r="O19" s="27">
        <v>0</v>
      </c>
      <c r="P19" s="27">
        <v>0</v>
      </c>
      <c r="Q19" s="27">
        <v>0</v>
      </c>
      <c r="R19" s="27">
        <v>0</v>
      </c>
      <c r="S19" s="11">
        <v>0</v>
      </c>
      <c r="T19" s="11">
        <v>0</v>
      </c>
      <c r="U19" s="11">
        <v>0</v>
      </c>
      <c r="V19" s="11">
        <v>0</v>
      </c>
      <c r="W19" s="11">
        <v>0</v>
      </c>
      <c r="X19" s="11">
        <v>0</v>
      </c>
      <c r="Y19" s="11">
        <v>0</v>
      </c>
      <c r="Z19" s="11">
        <v>0</v>
      </c>
      <c r="AA19" s="11">
        <v>0</v>
      </c>
      <c r="AB19" s="11">
        <v>0</v>
      </c>
      <c r="AC19" s="11">
        <v>0</v>
      </c>
      <c r="AD19" s="22" t="str">
        <f>LEFT(A19,18)</f>
        <v>run_filtered_lrelu</v>
      </c>
      <c r="AE19" s="23">
        <f>0+SUBSTITUTE(B19,"s","")</f>
        <v>0</v>
      </c>
      <c r="AF19" s="11"/>
      <c r="AG19" s="11">
        <v>1</v>
      </c>
      <c r="AH19">
        <f>1-AF19-AG19</f>
        <v>0</v>
      </c>
      <c r="AI19" s="23">
        <f>AF19*$AE19</f>
        <v>0</v>
      </c>
      <c r="AJ19" s="23">
        <f>AG19*$AE19</f>
        <v>0</v>
      </c>
      <c r="AK19" s="23">
        <f>AH19*$AE19</f>
        <v>0</v>
      </c>
    </row>
    <row r="20" s="11" customFormat="1">
      <c r="A20" s="11" t="s">
        <v>165</v>
      </c>
      <c r="B20" s="24" t="s">
        <v>138</v>
      </c>
      <c r="C20" s="11" t="s">
        <v>166</v>
      </c>
      <c r="D20" s="11">
        <v>66</v>
      </c>
      <c r="E20" s="11" t="s">
        <v>123</v>
      </c>
      <c r="F20" s="11">
        <v>0</v>
      </c>
      <c r="G20" s="27">
        <v>0</v>
      </c>
      <c r="H20" s="27">
        <v>0</v>
      </c>
      <c r="I20" s="27">
        <v>1</v>
      </c>
      <c r="J20" s="27">
        <v>0</v>
      </c>
      <c r="K20" s="11">
        <v>0</v>
      </c>
      <c r="L20" s="27">
        <v>0</v>
      </c>
      <c r="M20" s="27">
        <v>0</v>
      </c>
      <c r="N20" s="27">
        <v>0</v>
      </c>
      <c r="O20" s="27">
        <v>0</v>
      </c>
      <c r="P20" s="27">
        <v>0</v>
      </c>
      <c r="Q20" s="27">
        <v>0</v>
      </c>
      <c r="R20" s="27">
        <v>0</v>
      </c>
      <c r="S20" s="11">
        <v>0</v>
      </c>
      <c r="T20" s="11">
        <v>0</v>
      </c>
      <c r="U20" s="11">
        <v>0</v>
      </c>
      <c r="V20" s="11">
        <v>0</v>
      </c>
      <c r="W20" s="11">
        <v>0</v>
      </c>
      <c r="X20" s="11">
        <v>0</v>
      </c>
      <c r="Y20" s="11">
        <v>0</v>
      </c>
      <c r="Z20" s="11">
        <v>0</v>
      </c>
      <c r="AA20" s="11">
        <v>0</v>
      </c>
      <c r="AB20" s="11">
        <v>0</v>
      </c>
      <c r="AC20" s="11">
        <v>0</v>
      </c>
      <c r="AD20" s="22" t="str">
        <f>LEFT(A20,18)</f>
        <v>run_filtered_lrelu</v>
      </c>
      <c r="AE20" s="23">
        <f>0+SUBSTITUTE(B20,"s","")</f>
        <v>0.001</v>
      </c>
      <c r="AF20" s="11"/>
      <c r="AG20" s="11">
        <v>1</v>
      </c>
      <c r="AH20">
        <f>1-AF20-AG20</f>
        <v>0</v>
      </c>
      <c r="AI20" s="23">
        <f>AF20*$AE20</f>
        <v>0</v>
      </c>
      <c r="AJ20" s="23">
        <f>AG20*$AE20</f>
        <v>0.001</v>
      </c>
      <c r="AK20" s="23">
        <f>AH20*$AE20</f>
        <v>0</v>
      </c>
    </row>
    <row r="21">
      <c r="A21" t="s">
        <v>167</v>
      </c>
      <c r="B21" s="16" t="s">
        <v>151</v>
      </c>
      <c r="C21" t="s">
        <v>168</v>
      </c>
      <c r="D21">
        <v>64</v>
      </c>
      <c r="E21" t="s">
        <v>123</v>
      </c>
      <c r="F21">
        <v>0</v>
      </c>
      <c r="G21" s="19">
        <v>0.031</v>
      </c>
      <c r="H21" s="19">
        <v>0.072000000000000008</v>
      </c>
      <c r="I21" s="19">
        <v>0.89700000000000002</v>
      </c>
      <c r="J21" s="19">
        <v>0.088000000000000009</v>
      </c>
      <c r="K21" s="20">
        <v>170694</v>
      </c>
      <c r="L21" s="19">
        <v>0.002</v>
      </c>
      <c r="M21" s="21">
        <v>0</v>
      </c>
      <c r="N21" s="19">
        <v>0.0030000000000000001</v>
      </c>
      <c r="O21" s="19">
        <v>0.001</v>
      </c>
      <c r="P21" s="19">
        <v>0.018000000000000002</v>
      </c>
      <c r="Q21" s="19">
        <v>0.013000000000000001</v>
      </c>
      <c r="R21" s="21">
        <v>0</v>
      </c>
      <c r="S21" s="20">
        <v>5675300</v>
      </c>
      <c r="T21" s="20">
        <v>1335851</v>
      </c>
      <c r="U21" s="20">
        <v>33037008</v>
      </c>
      <c r="V21" s="20">
        <v>24220145</v>
      </c>
      <c r="W21" s="20">
        <v>9777</v>
      </c>
      <c r="X21">
        <v>142.32499999999999</v>
      </c>
      <c r="Y21">
        <v>70.817999999999998</v>
      </c>
      <c r="Z21">
        <v>21.003</v>
      </c>
      <c r="AA21">
        <v>59.353999999999999</v>
      </c>
      <c r="AB21" s="20">
        <v>9216</v>
      </c>
      <c r="AC21">
        <v>0</v>
      </c>
      <c r="AD21" s="22" t="str">
        <f>LEFT(A21,18)</f>
        <v>UnrolledElementwis</v>
      </c>
      <c r="AE21" s="23">
        <f>0+SUBSTITUTE(B21,"s","")</f>
        <v>0.002</v>
      </c>
      <c r="AH21">
        <f>1-AF21-AG21</f>
        <v>1</v>
      </c>
      <c r="AI21" s="23">
        <f>AF21*$AE21</f>
        <v>0</v>
      </c>
      <c r="AJ21" s="23">
        <f>AG21*$AE21</f>
        <v>0</v>
      </c>
      <c r="AK21" s="23">
        <f>AH21*$AE21</f>
        <v>0.002</v>
      </c>
    </row>
    <row r="22">
      <c r="A22" t="s">
        <v>169</v>
      </c>
      <c r="B22" s="16" t="s">
        <v>170</v>
      </c>
      <c r="C22" t="s">
        <v>171</v>
      </c>
      <c r="D22" s="20">
        <v>1454</v>
      </c>
      <c r="E22" t="s">
        <v>123</v>
      </c>
      <c r="F22">
        <v>0</v>
      </c>
      <c r="G22" s="19">
        <v>0.050999999999999997</v>
      </c>
      <c r="H22" s="19">
        <v>0.026000000000000002</v>
      </c>
      <c r="I22" s="19">
        <v>0.92299999999999993</v>
      </c>
      <c r="J22" s="19">
        <v>0.057999999999999996</v>
      </c>
      <c r="K22" s="20">
        <v>147771</v>
      </c>
      <c r="L22" s="19">
        <v>0.0090000000000000011</v>
      </c>
      <c r="M22" s="21">
        <v>0</v>
      </c>
      <c r="N22" s="19">
        <v>0.0040000000000000001</v>
      </c>
      <c r="O22" s="19">
        <v>0.001</v>
      </c>
      <c r="P22" s="19">
        <v>0.036000000000000004</v>
      </c>
      <c r="Q22" s="19">
        <v>0.022000000000000002</v>
      </c>
      <c r="R22" s="21">
        <v>0</v>
      </c>
      <c r="S22" s="20">
        <v>24225533</v>
      </c>
      <c r="T22" s="20">
        <v>5510561</v>
      </c>
      <c r="U22" s="20">
        <v>203839895</v>
      </c>
      <c r="V22" s="20">
        <v>120462407</v>
      </c>
      <c r="W22" s="20">
        <v>7838</v>
      </c>
      <c r="X22">
        <v>129.87899999999999</v>
      </c>
      <c r="Y22">
        <v>73.900999999999996</v>
      </c>
      <c r="Z22">
        <v>15.565</v>
      </c>
      <c r="AA22">
        <v>70.099000000000004</v>
      </c>
      <c r="AB22" s="20">
        <v>193502</v>
      </c>
      <c r="AC22">
        <v>0</v>
      </c>
      <c r="AD22" s="22" t="str">
        <f>LEFT(A22,18)</f>
        <v>VectorizedElementw</v>
      </c>
      <c r="AE22" s="23">
        <f>0+SUBSTITUTE(B22,"s","")</f>
        <v>0.0080000000000000002</v>
      </c>
      <c r="AH22">
        <f>1-AF22-AG22</f>
        <v>1</v>
      </c>
      <c r="AI22" s="23">
        <f>AF22*$AE22</f>
        <v>0</v>
      </c>
      <c r="AJ22" s="23">
        <f>AG22*$AE22</f>
        <v>0</v>
      </c>
      <c r="AK22" s="23">
        <f>AH22*$AE22</f>
        <v>0.0080000000000000002</v>
      </c>
    </row>
    <row r="23">
      <c r="A23" t="s">
        <v>172</v>
      </c>
      <c r="B23" s="16" t="s">
        <v>125</v>
      </c>
      <c r="C23" t="s">
        <v>173</v>
      </c>
      <c r="D23">
        <v>66</v>
      </c>
      <c r="E23" t="s">
        <v>123</v>
      </c>
      <c r="F23">
        <v>0</v>
      </c>
      <c r="G23" s="21">
        <v>0</v>
      </c>
      <c r="H23" s="21">
        <v>0</v>
      </c>
      <c r="I23" s="21">
        <v>1</v>
      </c>
      <c r="J23" s="21">
        <v>0</v>
      </c>
      <c r="K23">
        <v>0</v>
      </c>
      <c r="L23" s="21">
        <v>0</v>
      </c>
      <c r="M23" s="21">
        <v>0</v>
      </c>
      <c r="N23" s="21">
        <v>0</v>
      </c>
      <c r="O23" s="21">
        <v>0</v>
      </c>
      <c r="P23" s="21">
        <v>0</v>
      </c>
      <c r="Q23" s="21">
        <v>0</v>
      </c>
      <c r="R23" s="21">
        <v>0</v>
      </c>
      <c r="S23">
        <v>0</v>
      </c>
      <c r="T23">
        <v>0</v>
      </c>
      <c r="U23">
        <v>0</v>
      </c>
      <c r="V23">
        <v>0</v>
      </c>
      <c r="W23">
        <v>0</v>
      </c>
      <c r="X23">
        <v>0</v>
      </c>
      <c r="Y23">
        <v>0</v>
      </c>
      <c r="Z23">
        <v>0</v>
      </c>
      <c r="AA23">
        <v>0</v>
      </c>
      <c r="AB23">
        <v>0</v>
      </c>
      <c r="AC23">
        <v>0</v>
      </c>
      <c r="AD23" s="22" t="str">
        <f>LEFT(A23,18)</f>
        <v>VectorizedElementw</v>
      </c>
      <c r="AE23" s="23">
        <f>0+SUBSTITUTE(B23,"s","")</f>
        <v>0</v>
      </c>
      <c r="AH23">
        <f>1-AF23-AG23</f>
        <v>1</v>
      </c>
      <c r="AI23" s="23">
        <f>AF23*$AE23</f>
        <v>0</v>
      </c>
      <c r="AJ23" s="23">
        <f>AG23*$AE23</f>
        <v>0</v>
      </c>
      <c r="AK23" s="23">
        <f>AH23*$AE23</f>
        <v>0</v>
      </c>
    </row>
    <row r="24">
      <c r="A24" t="s">
        <v>174</v>
      </c>
      <c r="B24" s="16" t="s">
        <v>125</v>
      </c>
      <c r="C24" t="s">
        <v>126</v>
      </c>
      <c r="D24">
        <v>66</v>
      </c>
      <c r="E24" t="s">
        <v>123</v>
      </c>
      <c r="F24">
        <v>0</v>
      </c>
      <c r="G24" s="19">
        <v>0.024</v>
      </c>
      <c r="H24" s="19">
        <v>0.050999999999999997</v>
      </c>
      <c r="I24" s="19">
        <v>0.92500000000000004</v>
      </c>
      <c r="J24" s="19">
        <v>0.064000000000000001</v>
      </c>
      <c r="K24" s="20">
        <v>86320</v>
      </c>
      <c r="L24" s="21">
        <v>0</v>
      </c>
      <c r="M24" s="21">
        <v>0</v>
      </c>
      <c r="N24" s="19">
        <v>0.002</v>
      </c>
      <c r="O24" s="19">
        <v>0.001</v>
      </c>
      <c r="P24" s="19">
        <v>0.002</v>
      </c>
      <c r="Q24" s="19">
        <v>0.021000000000000001</v>
      </c>
      <c r="R24" s="21">
        <v>0</v>
      </c>
      <c r="S24" s="20">
        <v>1883399</v>
      </c>
      <c r="T24" s="20">
        <v>1032470</v>
      </c>
      <c r="U24" s="20">
        <v>2201427</v>
      </c>
      <c r="V24" s="20">
        <v>19132017</v>
      </c>
      <c r="W24">
        <v>0</v>
      </c>
      <c r="X24">
        <v>96.545000000000002</v>
      </c>
      <c r="Y24">
        <v>66.185000000000002</v>
      </c>
      <c r="Z24">
        <v>0.82299999999999995</v>
      </c>
      <c r="AA24">
        <v>9.1159999999999997</v>
      </c>
      <c r="AB24">
        <v>0</v>
      </c>
      <c r="AC24">
        <v>0</v>
      </c>
      <c r="AD24" s="22" t="str">
        <f>LEFT(A24,18)</f>
        <v>VectorizedElementw</v>
      </c>
      <c r="AE24" s="23">
        <f>0+SUBSTITUTE(B24,"s","")</f>
        <v>0</v>
      </c>
      <c r="AH24">
        <f>1-AF24-AG24</f>
        <v>1</v>
      </c>
      <c r="AI24" s="23">
        <f>AF24*$AE24</f>
        <v>0</v>
      </c>
      <c r="AJ24" s="23">
        <f>AG24*$AE24</f>
        <v>0</v>
      </c>
      <c r="AK24" s="23">
        <f>AH24*$AE24</f>
        <v>0</v>
      </c>
    </row>
    <row r="25">
      <c r="A25" t="s">
        <v>175</v>
      </c>
      <c r="B25" s="16" t="s">
        <v>125</v>
      </c>
      <c r="C25" t="s">
        <v>176</v>
      </c>
      <c r="D25">
        <v>66</v>
      </c>
      <c r="E25" t="s">
        <v>123</v>
      </c>
      <c r="F25">
        <v>0</v>
      </c>
      <c r="G25" s="21">
        <v>0.02</v>
      </c>
      <c r="H25" s="19">
        <v>0.025000000000000001</v>
      </c>
      <c r="I25" s="19">
        <v>0.95499999999999996</v>
      </c>
      <c r="J25" s="19">
        <v>0.037000000000000005</v>
      </c>
      <c r="K25" s="20">
        <v>51646</v>
      </c>
      <c r="L25" s="21">
        <v>0</v>
      </c>
      <c r="M25" s="21">
        <v>0</v>
      </c>
      <c r="N25" s="19">
        <v>0.001</v>
      </c>
      <c r="O25" s="19">
        <v>0.001</v>
      </c>
      <c r="P25" s="19">
        <v>0.001</v>
      </c>
      <c r="Q25" s="19">
        <v>0.018000000000000002</v>
      </c>
      <c r="R25" s="21">
        <v>0</v>
      </c>
      <c r="S25" s="20">
        <v>1246046</v>
      </c>
      <c r="T25" s="20">
        <v>783707</v>
      </c>
      <c r="U25" s="20">
        <v>687734</v>
      </c>
      <c r="V25" s="20">
        <v>16760840</v>
      </c>
      <c r="W25">
        <v>0</v>
      </c>
      <c r="X25">
        <v>44.960999999999999</v>
      </c>
      <c r="Y25">
        <v>35.405999999999999</v>
      </c>
      <c r="Z25">
        <v>0.73099999999999998</v>
      </c>
      <c r="AA25">
        <v>9.4920000000000009</v>
      </c>
      <c r="AB25">
        <v>0</v>
      </c>
      <c r="AC25">
        <v>0</v>
      </c>
      <c r="AD25" s="22" t="str">
        <f>LEFT(A25,18)</f>
        <v>VectorizedElementw</v>
      </c>
      <c r="AE25" s="23">
        <f>0+SUBSTITUTE(B25,"s","")</f>
        <v>0</v>
      </c>
      <c r="AH25">
        <f>1-AF25-AG25</f>
        <v>1</v>
      </c>
      <c r="AI25" s="23">
        <f>AF25*$AE25</f>
        <v>0</v>
      </c>
      <c r="AJ25" s="23">
        <f>AG25*$AE25</f>
        <v>0</v>
      </c>
      <c r="AK25" s="23">
        <f>AH25*$AE25</f>
        <v>0</v>
      </c>
    </row>
    <row r="26">
      <c r="A26" t="s">
        <v>177</v>
      </c>
      <c r="B26" s="16" t="s">
        <v>125</v>
      </c>
      <c r="C26" t="s">
        <v>133</v>
      </c>
      <c r="D26">
        <v>66</v>
      </c>
      <c r="E26" t="s">
        <v>123</v>
      </c>
      <c r="F26">
        <v>0</v>
      </c>
      <c r="G26" s="21">
        <v>0</v>
      </c>
      <c r="H26" s="19">
        <v>0.001</v>
      </c>
      <c r="I26" s="19">
        <v>0.99900000000000011</v>
      </c>
      <c r="J26" s="21">
        <v>0</v>
      </c>
      <c r="K26">
        <v>136</v>
      </c>
      <c r="L26" s="21">
        <v>0</v>
      </c>
      <c r="M26" s="21">
        <v>0</v>
      </c>
      <c r="N26" s="21">
        <v>0</v>
      </c>
      <c r="O26" s="21">
        <v>0</v>
      </c>
      <c r="P26" s="21">
        <v>0</v>
      </c>
      <c r="Q26" s="21">
        <v>0</v>
      </c>
      <c r="R26" s="21">
        <v>0</v>
      </c>
      <c r="S26">
        <v>982</v>
      </c>
      <c r="T26">
        <v>800</v>
      </c>
      <c r="U26">
        <v>568</v>
      </c>
      <c r="V26" s="20">
        <v>9020</v>
      </c>
      <c r="W26">
        <v>0</v>
      </c>
      <c r="X26">
        <v>2.6549999999999998</v>
      </c>
      <c r="Y26">
        <v>0.040000000000000001</v>
      </c>
      <c r="Z26">
        <v>0.52000000000000002</v>
      </c>
      <c r="AA26">
        <v>0.121</v>
      </c>
      <c r="AB26">
        <v>0</v>
      </c>
      <c r="AC26">
        <v>0</v>
      </c>
      <c r="AD26" s="22" t="str">
        <f>LEFT(A26,18)</f>
        <v>VectorizedElementw</v>
      </c>
      <c r="AE26" s="23">
        <f>0+SUBSTITUTE(B26,"s","")</f>
        <v>0</v>
      </c>
      <c r="AH26">
        <f>1-AF26-AG26</f>
        <v>1</v>
      </c>
      <c r="AI26" s="23">
        <f>AF26*$AE26</f>
        <v>0</v>
      </c>
      <c r="AJ26" s="23">
        <f>AG26*$AE26</f>
        <v>0</v>
      </c>
      <c r="AK26" s="23">
        <f>AH26*$AE26</f>
        <v>0</v>
      </c>
    </row>
    <row r="27">
      <c r="A27" t="s">
        <v>178</v>
      </c>
      <c r="B27" s="16" t="s">
        <v>138</v>
      </c>
      <c r="C27" t="s">
        <v>131</v>
      </c>
      <c r="D27">
        <v>264</v>
      </c>
      <c r="E27" t="s">
        <v>123</v>
      </c>
      <c r="F27">
        <v>0</v>
      </c>
      <c r="G27" s="21">
        <v>0</v>
      </c>
      <c r="H27" s="19">
        <v>0.001</v>
      </c>
      <c r="I27" s="19">
        <v>0.99900000000000011</v>
      </c>
      <c r="J27" s="21">
        <v>0</v>
      </c>
      <c r="K27">
        <v>382</v>
      </c>
      <c r="L27" s="21">
        <v>0</v>
      </c>
      <c r="M27" s="21">
        <v>0</v>
      </c>
      <c r="N27" s="21">
        <v>0</v>
      </c>
      <c r="O27" s="21">
        <v>0</v>
      </c>
      <c r="P27" s="21">
        <v>0</v>
      </c>
      <c r="Q27" s="21">
        <v>0</v>
      </c>
      <c r="R27" s="21">
        <v>0</v>
      </c>
      <c r="S27" s="20">
        <v>5026</v>
      </c>
      <c r="T27" s="20">
        <v>5199</v>
      </c>
      <c r="U27" s="20">
        <v>14398</v>
      </c>
      <c r="V27" s="20">
        <v>55404</v>
      </c>
      <c r="W27">
        <v>0</v>
      </c>
      <c r="X27">
        <v>1.7709999999999999</v>
      </c>
      <c r="Y27">
        <v>0.043999999999999997</v>
      </c>
      <c r="Z27">
        <v>0.311</v>
      </c>
      <c r="AA27">
        <v>0.070999999999999994</v>
      </c>
      <c r="AB27">
        <v>0</v>
      </c>
      <c r="AC27">
        <v>0</v>
      </c>
      <c r="AD27" s="22" t="str">
        <f>LEFT(A27,18)</f>
        <v>VectorizedElementw</v>
      </c>
      <c r="AE27" s="23">
        <f>0+SUBSTITUTE(B27,"s","")</f>
        <v>0.001</v>
      </c>
      <c r="AH27">
        <f>1-AF27-AG27</f>
        <v>1</v>
      </c>
      <c r="AI27" s="23">
        <f>AF27*$AE27</f>
        <v>0</v>
      </c>
      <c r="AJ27" s="23">
        <f>AG27*$AE27</f>
        <v>0</v>
      </c>
      <c r="AK27" s="23">
        <f>AH27*$AE27</f>
        <v>0.001</v>
      </c>
    </row>
    <row r="28">
      <c r="A28" t="s">
        <v>179</v>
      </c>
      <c r="B28" s="16" t="s">
        <v>180</v>
      </c>
      <c r="C28" t="s">
        <v>131</v>
      </c>
      <c r="D28" s="20">
        <v>1055</v>
      </c>
      <c r="E28" t="s">
        <v>123</v>
      </c>
      <c r="F28">
        <v>0</v>
      </c>
      <c r="G28" s="19">
        <v>0.027999999999999997</v>
      </c>
      <c r="H28" s="19">
        <v>0.044000000000000004</v>
      </c>
      <c r="I28" s="19">
        <v>0.92799999999999994</v>
      </c>
      <c r="J28" s="19">
        <v>0.057000000000000002</v>
      </c>
      <c r="K28" s="20">
        <v>206022</v>
      </c>
      <c r="L28" s="21">
        <v>0</v>
      </c>
      <c r="M28" s="21">
        <v>0</v>
      </c>
      <c r="N28" s="19">
        <v>0.0040000000000000001</v>
      </c>
      <c r="O28" s="19">
        <v>0.001</v>
      </c>
      <c r="P28" s="19">
        <v>0.002</v>
      </c>
      <c r="Q28" s="19">
        <v>0.025000000000000001</v>
      </c>
      <c r="R28" s="21">
        <v>0</v>
      </c>
      <c r="S28" s="20">
        <v>11962184</v>
      </c>
      <c r="T28" s="20">
        <v>2796659</v>
      </c>
      <c r="U28" s="20">
        <v>5231948</v>
      </c>
      <c r="V28" s="20">
        <v>78039854</v>
      </c>
      <c r="W28">
        <v>0</v>
      </c>
      <c r="X28">
        <v>76.456999999999994</v>
      </c>
      <c r="Y28">
        <v>44.158000000000001</v>
      </c>
      <c r="Z28">
        <v>12.364000000000001</v>
      </c>
      <c r="AA28">
        <v>11.942</v>
      </c>
      <c r="AB28" s="20">
        <v>4282</v>
      </c>
      <c r="AC28">
        <v>0</v>
      </c>
      <c r="AD28" s="22" t="str">
        <f>LEFT(A28,18)</f>
        <v>VectorizedElementw</v>
      </c>
      <c r="AE28" s="23">
        <f>0+SUBSTITUTE(B28,"s","")</f>
        <v>0.0040000000000000001</v>
      </c>
      <c r="AH28">
        <f>1-AF28-AG28</f>
        <v>1</v>
      </c>
      <c r="AI28" s="23">
        <f>AF28*$AE28</f>
        <v>0</v>
      </c>
      <c r="AJ28" s="23">
        <f>AG28*$AE28</f>
        <v>0</v>
      </c>
      <c r="AK28" s="23">
        <f>AH28*$AE28</f>
        <v>0.0040000000000000001</v>
      </c>
    </row>
    <row r="29">
      <c r="A29" t="s">
        <v>181</v>
      </c>
      <c r="B29" s="16" t="s">
        <v>138</v>
      </c>
      <c r="C29" t="s">
        <v>133</v>
      </c>
      <c r="D29">
        <v>130</v>
      </c>
      <c r="E29" t="s">
        <v>123</v>
      </c>
      <c r="F29">
        <v>0</v>
      </c>
      <c r="G29" s="19">
        <v>0.055</v>
      </c>
      <c r="H29" s="19">
        <v>0.122</v>
      </c>
      <c r="I29" s="19">
        <v>0.82299999999999995</v>
      </c>
      <c r="J29" s="19">
        <v>0.158</v>
      </c>
      <c r="K29" s="20">
        <v>47403</v>
      </c>
      <c r="L29" s="19">
        <v>0.0040000000000000001</v>
      </c>
      <c r="M29" s="21">
        <v>0</v>
      </c>
      <c r="N29" s="19">
        <v>0.0040000000000000001</v>
      </c>
      <c r="O29" s="19">
        <v>0.001</v>
      </c>
      <c r="P29" s="19">
        <v>0.039</v>
      </c>
      <c r="Q29" s="19">
        <v>0.018000000000000002</v>
      </c>
      <c r="R29" s="21">
        <v>0</v>
      </c>
      <c r="S29" s="20">
        <v>1729537</v>
      </c>
      <c r="T29" s="20">
        <v>271890</v>
      </c>
      <c r="U29" s="20">
        <v>17646789</v>
      </c>
      <c r="V29" s="20">
        <v>8099266</v>
      </c>
      <c r="W29" s="20">
        <v>2301</v>
      </c>
      <c r="X29">
        <v>166.76900000000001</v>
      </c>
      <c r="Y29">
        <v>57.314</v>
      </c>
      <c r="Z29">
        <v>44.645000000000003</v>
      </c>
      <c r="AA29">
        <v>68.081000000000003</v>
      </c>
      <c r="AB29" s="20">
        <v>2304</v>
      </c>
      <c r="AC29">
        <v>0</v>
      </c>
      <c r="AD29" s="22" t="str">
        <f>LEFT(A29,18)</f>
        <v>VectorizedElementw</v>
      </c>
      <c r="AE29" s="23">
        <f>0+SUBSTITUTE(B29,"s","")</f>
        <v>0.001</v>
      </c>
      <c r="AH29">
        <f>1-AF29-AG29</f>
        <v>1</v>
      </c>
      <c r="AI29" s="23">
        <f>AF29*$AE29</f>
        <v>0</v>
      </c>
      <c r="AJ29" s="23">
        <f>AG29*$AE29</f>
        <v>0</v>
      </c>
      <c r="AK29" s="23">
        <f>AH29*$AE29</f>
        <v>0.001</v>
      </c>
    </row>
    <row r="30">
      <c r="A30" t="s">
        <v>182</v>
      </c>
      <c r="B30" s="16" t="s">
        <v>138</v>
      </c>
      <c r="C30" t="s">
        <v>183</v>
      </c>
      <c r="D30">
        <v>462</v>
      </c>
      <c r="E30" t="s">
        <v>123</v>
      </c>
      <c r="F30">
        <v>0</v>
      </c>
      <c r="G30" s="19">
        <v>0.065000000000000002</v>
      </c>
      <c r="H30" s="19">
        <v>0.20800000000000002</v>
      </c>
      <c r="I30" s="19">
        <v>0.72699999999999998</v>
      </c>
      <c r="J30" s="19">
        <v>0.25900000000000001</v>
      </c>
      <c r="K30" s="20">
        <v>49480</v>
      </c>
      <c r="L30" s="19">
        <v>0.0040000000000000001</v>
      </c>
      <c r="M30" s="21">
        <v>0</v>
      </c>
      <c r="N30" s="19">
        <v>0.0040000000000000001</v>
      </c>
      <c r="O30" s="21">
        <v>0</v>
      </c>
      <c r="P30" s="19">
        <v>0.037000000000000005</v>
      </c>
      <c r="Q30" s="19">
        <v>0.028999999999999998</v>
      </c>
      <c r="R30" s="21">
        <v>0</v>
      </c>
      <c r="S30" s="20">
        <v>1841320</v>
      </c>
      <c r="T30" s="20">
        <v>50160</v>
      </c>
      <c r="U30" s="20">
        <v>17060332</v>
      </c>
      <c r="V30" s="20">
        <v>13290698</v>
      </c>
      <c r="W30">
        <v>0</v>
      </c>
      <c r="X30">
        <v>141.227</v>
      </c>
      <c r="Y30">
        <v>67.242999999999995</v>
      </c>
      <c r="Z30">
        <v>53.313000000000002</v>
      </c>
      <c r="AA30">
        <v>46.707999999999998</v>
      </c>
      <c r="AB30">
        <v>96</v>
      </c>
      <c r="AC30">
        <v>0</v>
      </c>
      <c r="AD30" s="22" t="str">
        <f>LEFT(A30,18)</f>
        <v>VectorizedElementw</v>
      </c>
      <c r="AE30" s="23">
        <f>0+SUBSTITUTE(B30,"s","")</f>
        <v>0.001</v>
      </c>
      <c r="AH30">
        <f>1-AF30-AG30</f>
        <v>1</v>
      </c>
      <c r="AI30" s="23">
        <f>AF30*$AE30</f>
        <v>0</v>
      </c>
      <c r="AJ30" s="23">
        <f>AG30*$AE30</f>
        <v>0</v>
      </c>
      <c r="AK30" s="23">
        <f>AH30*$AE30</f>
        <v>0.001</v>
      </c>
    </row>
    <row r="31">
      <c r="A31" t="s">
        <v>184</v>
      </c>
      <c r="B31" s="16" t="s">
        <v>138</v>
      </c>
      <c r="C31" t="s">
        <v>173</v>
      </c>
      <c r="D31">
        <v>132</v>
      </c>
      <c r="E31" t="s">
        <v>123</v>
      </c>
      <c r="F31">
        <v>0</v>
      </c>
      <c r="G31" s="21">
        <v>0</v>
      </c>
      <c r="H31" s="19">
        <v>0.001</v>
      </c>
      <c r="I31" s="19">
        <v>0.99900000000000011</v>
      </c>
      <c r="J31" s="21">
        <v>0</v>
      </c>
      <c r="K31">
        <v>379</v>
      </c>
      <c r="L31" s="21">
        <v>0</v>
      </c>
      <c r="M31" s="21">
        <v>0</v>
      </c>
      <c r="N31" s="21">
        <v>0</v>
      </c>
      <c r="O31" s="21">
        <v>0</v>
      </c>
      <c r="P31" s="21">
        <v>0</v>
      </c>
      <c r="Q31" s="21">
        <v>0</v>
      </c>
      <c r="R31" s="21">
        <v>0</v>
      </c>
      <c r="S31" s="20">
        <v>4563</v>
      </c>
      <c r="T31" s="20">
        <v>2464</v>
      </c>
      <c r="U31" s="20">
        <v>7726</v>
      </c>
      <c r="V31" s="20">
        <v>25413</v>
      </c>
      <c r="W31">
        <v>0</v>
      </c>
      <c r="X31">
        <v>1.1779999999999999</v>
      </c>
      <c r="Y31">
        <v>0.053999999999999999</v>
      </c>
      <c r="Z31">
        <v>1.0489999999999999</v>
      </c>
      <c r="AA31">
        <v>0.65800000000000003</v>
      </c>
      <c r="AB31">
        <v>288</v>
      </c>
      <c r="AC31">
        <v>0</v>
      </c>
      <c r="AD31" s="22" t="str">
        <f>LEFT(A31,18)</f>
        <v>VectorizedElementw</v>
      </c>
      <c r="AE31" s="23">
        <f>0+SUBSTITUTE(B31,"s","")</f>
        <v>0.001</v>
      </c>
      <c r="AH31">
        <f>1-AF31-AG31</f>
        <v>1</v>
      </c>
      <c r="AI31" s="23">
        <f>AF31*$AE31</f>
        <v>0</v>
      </c>
      <c r="AJ31" s="23">
        <f>AG31*$AE31</f>
        <v>0</v>
      </c>
      <c r="AK31" s="23">
        <f>AH31*$AE31</f>
        <v>0.001</v>
      </c>
    </row>
    <row r="32">
      <c r="A32" t="s">
        <v>185</v>
      </c>
      <c r="B32" s="16" t="s">
        <v>125</v>
      </c>
      <c r="C32" t="s">
        <v>131</v>
      </c>
      <c r="D32">
        <v>66</v>
      </c>
      <c r="E32" t="s">
        <v>123</v>
      </c>
      <c r="F32">
        <v>0</v>
      </c>
      <c r="G32" s="21">
        <v>0</v>
      </c>
      <c r="H32" s="19">
        <v>0.001</v>
      </c>
      <c r="I32" s="19">
        <v>0.99900000000000011</v>
      </c>
      <c r="J32" s="21">
        <v>0</v>
      </c>
      <c r="K32">
        <v>129</v>
      </c>
      <c r="L32" s="21">
        <v>0</v>
      </c>
      <c r="M32" s="21">
        <v>0</v>
      </c>
      <c r="N32" s="21">
        <v>0</v>
      </c>
      <c r="O32" s="21">
        <v>0</v>
      </c>
      <c r="P32" s="21">
        <v>0</v>
      </c>
      <c r="Q32" s="21">
        <v>0</v>
      </c>
      <c r="R32" s="21">
        <v>0</v>
      </c>
      <c r="S32" s="20">
        <v>1451</v>
      </c>
      <c r="T32">
        <v>848</v>
      </c>
      <c r="U32" s="20">
        <v>2547</v>
      </c>
      <c r="V32" s="20">
        <v>8432</v>
      </c>
      <c r="W32">
        <v>0</v>
      </c>
      <c r="X32">
        <v>0.90700000000000003</v>
      </c>
      <c r="Y32">
        <v>0.039</v>
      </c>
      <c r="Z32">
        <v>0.85599999999999998</v>
      </c>
      <c r="AA32">
        <v>0.48899999999999999</v>
      </c>
      <c r="AB32">
        <v>96</v>
      </c>
      <c r="AC32">
        <v>0</v>
      </c>
      <c r="AD32" s="22" t="str">
        <f>LEFT(A32,18)</f>
        <v>VectorizedElementw</v>
      </c>
      <c r="AE32" s="23">
        <f>0+SUBSTITUTE(B32,"s","")</f>
        <v>0</v>
      </c>
      <c r="AH32">
        <f>1-AF32-AG32</f>
        <v>1</v>
      </c>
      <c r="AI32" s="23">
        <f>AF32*$AE32</f>
        <v>0</v>
      </c>
      <c r="AJ32" s="23">
        <f>AG32*$AE32</f>
        <v>0</v>
      </c>
      <c r="AK32" s="23">
        <f>AH32*$AE32</f>
        <v>0</v>
      </c>
    </row>
    <row r="33">
      <c r="A33" t="s">
        <v>186</v>
      </c>
      <c r="B33" s="16" t="s">
        <v>187</v>
      </c>
      <c r="C33" t="s">
        <v>126</v>
      </c>
      <c r="D33" s="20">
        <v>2773</v>
      </c>
      <c r="E33" t="s">
        <v>123</v>
      </c>
      <c r="F33">
        <v>0</v>
      </c>
      <c r="G33" s="19">
        <v>0.013999999999999999</v>
      </c>
      <c r="H33" s="19">
        <v>0.027999999999999997</v>
      </c>
      <c r="I33" s="19">
        <v>0.95799999999999996</v>
      </c>
      <c r="J33" s="19">
        <v>0.033000000000000002</v>
      </c>
      <c r="K33" s="20">
        <v>688169</v>
      </c>
      <c r="L33" s="21">
        <v>0</v>
      </c>
      <c r="M33" s="21">
        <v>0</v>
      </c>
      <c r="N33" s="19">
        <v>0.002</v>
      </c>
      <c r="O33" s="21">
        <v>0</v>
      </c>
      <c r="P33" s="19">
        <v>0.0030000000000000001</v>
      </c>
      <c r="Q33" s="19">
        <v>0.011000000000000001</v>
      </c>
      <c r="R33" s="21">
        <v>0</v>
      </c>
      <c r="S33" s="20">
        <v>33198240</v>
      </c>
      <c r="T33" s="20">
        <v>7218250</v>
      </c>
      <c r="U33" s="20">
        <v>58346377</v>
      </c>
      <c r="V33" s="20">
        <v>199064728</v>
      </c>
      <c r="W33">
        <v>0</v>
      </c>
      <c r="X33">
        <v>36.316000000000003</v>
      </c>
      <c r="Y33">
        <v>19.605</v>
      </c>
      <c r="Z33">
        <v>10.333</v>
      </c>
      <c r="AA33">
        <v>13.257</v>
      </c>
      <c r="AB33" s="20">
        <v>48334</v>
      </c>
      <c r="AC33">
        <v>0</v>
      </c>
      <c r="AD33" s="22" t="str">
        <f>LEFT(A33,18)</f>
        <v>VectorizedElementw</v>
      </c>
      <c r="AE33" s="23">
        <f>0+SUBSTITUTE(B33,"s","")</f>
        <v>0.024</v>
      </c>
      <c r="AH33">
        <f>1-AF33-AG33</f>
        <v>1</v>
      </c>
      <c r="AI33" s="23">
        <f>AF33*$AE33</f>
        <v>0</v>
      </c>
      <c r="AJ33" s="23">
        <f>AG33*$AE33</f>
        <v>0</v>
      </c>
      <c r="AK33" s="23">
        <f>AH33*$AE33</f>
        <v>0.024</v>
      </c>
    </row>
    <row r="34">
      <c r="A34" t="s">
        <v>188</v>
      </c>
      <c r="B34" s="16" t="s">
        <v>189</v>
      </c>
      <c r="C34" t="s">
        <v>173</v>
      </c>
      <c r="D34" s="20">
        <v>3763</v>
      </c>
      <c r="E34" t="s">
        <v>123</v>
      </c>
      <c r="F34">
        <v>0</v>
      </c>
      <c r="G34" s="19">
        <v>0.034000000000000002</v>
      </c>
      <c r="H34" s="19">
        <v>0.035000000000000003</v>
      </c>
      <c r="I34" s="19">
        <v>0.93099999999999994</v>
      </c>
      <c r="J34" s="19">
        <v>0.044999999999999998</v>
      </c>
      <c r="K34" s="20">
        <v>509006</v>
      </c>
      <c r="L34" s="19">
        <v>0.0030000000000000001</v>
      </c>
      <c r="M34" s="21">
        <v>0</v>
      </c>
      <c r="N34" s="19">
        <v>0.0050000000000000001</v>
      </c>
      <c r="O34" s="19">
        <v>0.001</v>
      </c>
      <c r="P34" s="19">
        <v>0.014999999999999999</v>
      </c>
      <c r="Q34" s="19">
        <v>0.019</v>
      </c>
      <c r="R34" s="21">
        <v>0</v>
      </c>
      <c r="S34" s="20">
        <v>84586107</v>
      </c>
      <c r="T34" s="20">
        <v>18239917</v>
      </c>
      <c r="U34" s="20">
        <v>237113425</v>
      </c>
      <c r="V34" s="20">
        <v>298695284</v>
      </c>
      <c r="W34" s="20">
        <v>22480</v>
      </c>
      <c r="X34">
        <v>86.682000000000002</v>
      </c>
      <c r="Y34">
        <v>65.221999999999994</v>
      </c>
      <c r="Z34">
        <v>20.545000000000002</v>
      </c>
      <c r="AA34">
        <v>58.543999999999997</v>
      </c>
      <c r="AB34" s="20">
        <v>763660</v>
      </c>
      <c r="AC34">
        <v>0</v>
      </c>
      <c r="AD34" s="22" t="str">
        <f>LEFT(A34,18)</f>
        <v>VectorizedElementw</v>
      </c>
      <c r="AE34" s="23">
        <f>0+SUBSTITUTE(B34,"s","")</f>
        <v>0.014999999999999999</v>
      </c>
      <c r="AH34">
        <f>1-AF34-AG34</f>
        <v>1</v>
      </c>
      <c r="AI34" s="23">
        <f>AF34*$AE34</f>
        <v>0</v>
      </c>
      <c r="AJ34" s="23">
        <f>AG34*$AE34</f>
        <v>0</v>
      </c>
      <c r="AK34" s="23">
        <f>AH34*$AE34</f>
        <v>0.014999999999999999</v>
      </c>
    </row>
    <row r="35">
      <c r="A35" t="s">
        <v>190</v>
      </c>
      <c r="B35" s="16" t="s">
        <v>138</v>
      </c>
      <c r="C35" t="s">
        <v>155</v>
      </c>
      <c r="D35">
        <v>66</v>
      </c>
      <c r="E35" t="s">
        <v>123</v>
      </c>
      <c r="F35">
        <v>0</v>
      </c>
      <c r="G35" s="21">
        <v>0</v>
      </c>
      <c r="H35" s="21">
        <v>0</v>
      </c>
      <c r="I35" s="21">
        <v>1</v>
      </c>
      <c r="J35" s="21">
        <v>0</v>
      </c>
      <c r="K35">
        <v>0</v>
      </c>
      <c r="L35" s="21">
        <v>0</v>
      </c>
      <c r="M35" s="21">
        <v>0</v>
      </c>
      <c r="N35" s="21">
        <v>0</v>
      </c>
      <c r="O35" s="21">
        <v>0</v>
      </c>
      <c r="P35" s="21">
        <v>0</v>
      </c>
      <c r="Q35" s="21">
        <v>0</v>
      </c>
      <c r="R35" s="21">
        <v>0</v>
      </c>
      <c r="S35">
        <v>0</v>
      </c>
      <c r="T35">
        <v>0</v>
      </c>
      <c r="U35">
        <v>0</v>
      </c>
      <c r="V35">
        <v>0</v>
      </c>
      <c r="W35">
        <v>0</v>
      </c>
      <c r="X35">
        <v>0</v>
      </c>
      <c r="Y35">
        <v>0</v>
      </c>
      <c r="Z35">
        <v>0</v>
      </c>
      <c r="AA35">
        <v>0</v>
      </c>
      <c r="AB35">
        <v>0</v>
      </c>
      <c r="AC35">
        <v>0</v>
      </c>
      <c r="AD35" s="22" t="str">
        <f>LEFT(A35,18)</f>
        <v>VectorizedElementw</v>
      </c>
      <c r="AE35" s="23">
        <f>0+SUBSTITUTE(B35,"s","")</f>
        <v>0.001</v>
      </c>
      <c r="AH35">
        <f>1-AF35-AG35</f>
        <v>1</v>
      </c>
      <c r="AI35" s="23">
        <f>AF35*$AE35</f>
        <v>0</v>
      </c>
      <c r="AJ35" s="23">
        <f>AG35*$AE35</f>
        <v>0</v>
      </c>
      <c r="AK35" s="23">
        <f>AH35*$AE35</f>
        <v>0.001</v>
      </c>
    </row>
    <row r="36">
      <c r="A36" t="s">
        <v>191</v>
      </c>
      <c r="B36" s="16" t="s">
        <v>138</v>
      </c>
      <c r="C36" t="s">
        <v>173</v>
      </c>
      <c r="D36">
        <v>198</v>
      </c>
      <c r="E36" t="s">
        <v>123</v>
      </c>
      <c r="F36">
        <v>0</v>
      </c>
      <c r="G36" s="21">
        <v>0</v>
      </c>
      <c r="H36" s="21">
        <v>0</v>
      </c>
      <c r="I36" s="21">
        <v>1</v>
      </c>
      <c r="J36" s="21">
        <v>0</v>
      </c>
      <c r="K36">
        <v>0</v>
      </c>
      <c r="L36" s="21">
        <v>0</v>
      </c>
      <c r="M36" s="21">
        <v>0</v>
      </c>
      <c r="N36" s="21">
        <v>0</v>
      </c>
      <c r="O36" s="21">
        <v>0</v>
      </c>
      <c r="P36" s="21">
        <v>0</v>
      </c>
      <c r="Q36" s="21">
        <v>0</v>
      </c>
      <c r="R36" s="21">
        <v>0</v>
      </c>
      <c r="S36">
        <v>0</v>
      </c>
      <c r="T36">
        <v>0</v>
      </c>
      <c r="U36">
        <v>0</v>
      </c>
      <c r="V36">
        <v>0</v>
      </c>
      <c r="W36">
        <v>0</v>
      </c>
      <c r="X36">
        <v>0</v>
      </c>
      <c r="Y36">
        <v>0</v>
      </c>
      <c r="Z36">
        <v>0</v>
      </c>
      <c r="AA36">
        <v>0</v>
      </c>
      <c r="AB36">
        <v>0</v>
      </c>
      <c r="AC36">
        <v>0</v>
      </c>
      <c r="AD36" s="22" t="str">
        <f>LEFT(A36,18)</f>
        <v>VectorizedElementw</v>
      </c>
      <c r="AE36" s="23">
        <f>0+SUBSTITUTE(B36,"s","")</f>
        <v>0.001</v>
      </c>
      <c r="AH36">
        <f>1-AF36-AG36</f>
        <v>1</v>
      </c>
      <c r="AI36" s="23">
        <f>AF36*$AE36</f>
        <v>0</v>
      </c>
      <c r="AJ36" s="23">
        <f>AG36*$AE36</f>
        <v>0</v>
      </c>
      <c r="AK36" s="23">
        <f>AH36*$AE36</f>
        <v>0.001</v>
      </c>
    </row>
    <row r="37">
      <c r="A37" t="s">
        <v>192</v>
      </c>
      <c r="B37" s="16" t="s">
        <v>125</v>
      </c>
      <c r="C37" t="s">
        <v>173</v>
      </c>
      <c r="D37">
        <v>66</v>
      </c>
      <c r="E37" t="s">
        <v>123</v>
      </c>
      <c r="F37">
        <v>0</v>
      </c>
      <c r="G37" s="21">
        <v>0</v>
      </c>
      <c r="H37" s="21">
        <v>0</v>
      </c>
      <c r="I37" s="21">
        <v>1</v>
      </c>
      <c r="J37" s="21">
        <v>0</v>
      </c>
      <c r="K37">
        <v>0</v>
      </c>
      <c r="L37" s="21">
        <v>0</v>
      </c>
      <c r="M37" s="21">
        <v>0</v>
      </c>
      <c r="N37" s="21">
        <v>0</v>
      </c>
      <c r="O37" s="21">
        <v>0</v>
      </c>
      <c r="P37" s="21">
        <v>0</v>
      </c>
      <c r="Q37" s="21">
        <v>0</v>
      </c>
      <c r="R37" s="21">
        <v>0</v>
      </c>
      <c r="S37">
        <v>0</v>
      </c>
      <c r="T37">
        <v>0</v>
      </c>
      <c r="U37">
        <v>0</v>
      </c>
      <c r="V37">
        <v>0</v>
      </c>
      <c r="W37">
        <v>0</v>
      </c>
      <c r="X37">
        <v>0</v>
      </c>
      <c r="Y37">
        <v>0</v>
      </c>
      <c r="Z37">
        <v>0</v>
      </c>
      <c r="AA37">
        <v>0</v>
      </c>
      <c r="AB37">
        <v>0</v>
      </c>
      <c r="AC37">
        <v>0</v>
      </c>
      <c r="AD37" s="22" t="str">
        <f>LEFT(A37,18)</f>
        <v>VectorizedElementw</v>
      </c>
      <c r="AE37" s="23">
        <f>0+SUBSTITUTE(B37,"s","")</f>
        <v>0</v>
      </c>
      <c r="AH37">
        <f>1-AF37-AG37</f>
        <v>1</v>
      </c>
      <c r="AI37" s="23">
        <f>AF37*$AE37</f>
        <v>0</v>
      </c>
      <c r="AJ37" s="23">
        <f>AG37*$AE37</f>
        <v>0</v>
      </c>
      <c r="AK37" s="23">
        <f>AH37*$AE37</f>
        <v>0</v>
      </c>
    </row>
    <row r="38">
      <c r="A38" t="s">
        <v>193</v>
      </c>
      <c r="B38" s="16" t="s">
        <v>151</v>
      </c>
      <c r="C38" t="s">
        <v>131</v>
      </c>
      <c r="D38">
        <v>460</v>
      </c>
      <c r="E38" t="s">
        <v>123</v>
      </c>
      <c r="F38">
        <v>0</v>
      </c>
      <c r="G38" s="21">
        <v>0</v>
      </c>
      <c r="H38" s="19">
        <v>0.001</v>
      </c>
      <c r="I38" s="19">
        <v>0.99900000000000011</v>
      </c>
      <c r="J38" s="21">
        <v>0</v>
      </c>
      <c r="K38">
        <v>453</v>
      </c>
      <c r="L38" s="21">
        <v>0</v>
      </c>
      <c r="M38" s="21">
        <v>0</v>
      </c>
      <c r="N38" s="21">
        <v>0</v>
      </c>
      <c r="O38" s="21">
        <v>0</v>
      </c>
      <c r="P38" s="21">
        <v>0</v>
      </c>
      <c r="Q38" s="21">
        <v>0</v>
      </c>
      <c r="R38" s="21">
        <v>0</v>
      </c>
      <c r="S38" s="20">
        <v>7302</v>
      </c>
      <c r="T38" s="20">
        <v>6127</v>
      </c>
      <c r="U38" s="20">
        <v>17376</v>
      </c>
      <c r="V38" s="20">
        <v>71300</v>
      </c>
      <c r="W38">
        <v>0</v>
      </c>
      <c r="X38">
        <v>1.9079999999999999</v>
      </c>
      <c r="Y38">
        <v>0.031</v>
      </c>
      <c r="Z38">
        <v>0.32200000000000001</v>
      </c>
      <c r="AA38">
        <v>0.17999999999999999</v>
      </c>
      <c r="AB38">
        <v>96</v>
      </c>
      <c r="AC38">
        <v>0</v>
      </c>
      <c r="AD38" s="22" t="str">
        <f>LEFT(A38,18)</f>
        <v>VectorizedElementw</v>
      </c>
      <c r="AE38" s="23">
        <f>0+SUBSTITUTE(B38,"s","")</f>
        <v>0.002</v>
      </c>
      <c r="AH38">
        <f>1-AF38-AG38</f>
        <v>1</v>
      </c>
      <c r="AI38" s="23">
        <f>AF38*$AE38</f>
        <v>0</v>
      </c>
      <c r="AJ38" s="23">
        <f>AG38*$AE38</f>
        <v>0</v>
      </c>
      <c r="AK38" s="23">
        <f>AH38*$AE38</f>
        <v>0.002</v>
      </c>
    </row>
    <row r="39">
      <c r="A39" t="s">
        <v>194</v>
      </c>
      <c r="B39" s="16" t="s">
        <v>195</v>
      </c>
      <c r="C39" t="s">
        <v>196</v>
      </c>
      <c r="D39" s="20">
        <v>2225</v>
      </c>
      <c r="E39" t="s">
        <v>197</v>
      </c>
      <c r="F39">
        <v>308.608</v>
      </c>
      <c r="G39" s="21">
        <v>0.31</v>
      </c>
      <c r="H39" s="19">
        <v>0.253</v>
      </c>
      <c r="I39" s="19">
        <v>0.43700000000000006</v>
      </c>
      <c r="J39" s="19">
        <v>0.28300000000000003</v>
      </c>
      <c r="K39" s="20">
        <v>3949008</v>
      </c>
      <c r="L39" s="21">
        <v>0.029999999999999999</v>
      </c>
      <c r="M39" s="21">
        <v>0</v>
      </c>
      <c r="N39" s="19">
        <v>0.070999999999999994</v>
      </c>
      <c r="O39" s="19">
        <v>0.013999999999999999</v>
      </c>
      <c r="P39" s="19">
        <v>0.14499999999999999</v>
      </c>
      <c r="Q39" s="19">
        <v>0.156</v>
      </c>
      <c r="R39" s="21">
        <v>0</v>
      </c>
      <c r="S39" s="20">
        <v>7440230788</v>
      </c>
      <c r="T39" s="20">
        <v>1482849950</v>
      </c>
      <c r="U39" s="20">
        <v>15250723040</v>
      </c>
      <c r="V39" s="20">
        <v>16489553012</v>
      </c>
      <c r="W39" s="20">
        <v>607131</v>
      </c>
      <c r="X39">
        <v>154.27500000000001</v>
      </c>
      <c r="Y39">
        <v>193.72200000000001</v>
      </c>
      <c r="Z39">
        <v>92.460999999999999</v>
      </c>
      <c r="AA39">
        <v>142.25299999999999</v>
      </c>
      <c r="AB39" s="20">
        <v>80100261</v>
      </c>
      <c r="AC39">
        <v>0</v>
      </c>
      <c r="AD39" s="22" t="str">
        <f>LEFT(A39,18)</f>
        <v>zeCommandListAppen</v>
      </c>
      <c r="AE39" s="23">
        <f>0+SUBSTITUTE(B39,"s","")</f>
        <v>0.153</v>
      </c>
      <c r="AH39">
        <f>1-AF39-AG39</f>
        <v>1</v>
      </c>
      <c r="AI39" s="23">
        <f>AF39*$AE39</f>
        <v>0</v>
      </c>
      <c r="AJ39" s="23">
        <f>AG39*$AE39</f>
        <v>0</v>
      </c>
      <c r="AK39" s="23">
        <f>AH39*$AE39</f>
        <v>0.153</v>
      </c>
    </row>
    <row r="40">
      <c r="A40" t="s">
        <v>198</v>
      </c>
      <c r="B40" s="16" t="s">
        <v>125</v>
      </c>
      <c r="C40" t="s">
        <v>166</v>
      </c>
      <c r="D40">
        <v>1</v>
      </c>
      <c r="E40" t="s">
        <v>199</v>
      </c>
      <c r="F40" s="28">
        <v>1066.857</v>
      </c>
      <c r="G40" s="21">
        <v>0</v>
      </c>
      <c r="H40" s="21">
        <v>0</v>
      </c>
      <c r="I40" s="21">
        <v>1</v>
      </c>
      <c r="J40" s="21">
        <v>0</v>
      </c>
      <c r="K40">
        <v>0</v>
      </c>
      <c r="L40" s="21">
        <v>0</v>
      </c>
      <c r="M40" s="21">
        <v>0</v>
      </c>
      <c r="N40" s="21">
        <v>0</v>
      </c>
      <c r="O40" s="21">
        <v>0</v>
      </c>
      <c r="P40" s="21">
        <v>0</v>
      </c>
      <c r="Q40" s="21">
        <v>0</v>
      </c>
      <c r="R40" s="21">
        <v>0</v>
      </c>
      <c r="S40">
        <v>0</v>
      </c>
      <c r="T40">
        <v>0</v>
      </c>
      <c r="U40">
        <v>0</v>
      </c>
      <c r="V40">
        <v>0</v>
      </c>
      <c r="W40">
        <v>0</v>
      </c>
      <c r="X40">
        <v>0</v>
      </c>
      <c r="Y40">
        <v>0</v>
      </c>
      <c r="Z40">
        <v>0</v>
      </c>
      <c r="AA40">
        <v>0</v>
      </c>
      <c r="AB40">
        <v>0</v>
      </c>
      <c r="AC40">
        <v>0</v>
      </c>
      <c r="AD40" s="22" t="str">
        <f>LEFT(A40,18)</f>
        <v>zeCommandListAppen</v>
      </c>
      <c r="AE40" s="23">
        <f>0+SUBSTITUTE(B40,"s","")</f>
        <v>0</v>
      </c>
      <c r="AH40">
        <f>1-AF40-AG40</f>
        <v>1</v>
      </c>
      <c r="AI40" s="23">
        <f>AF40*$AE40</f>
        <v>0</v>
      </c>
      <c r="AJ40" s="23">
        <f>AG40*$AE40</f>
        <v>0</v>
      </c>
      <c r="AK40" s="23">
        <f>AH40*$AE40</f>
        <v>0</v>
      </c>
    </row>
    <row r="41">
      <c r="B41" s="16"/>
      <c r="AE41" s="29">
        <f>SUM(AE2:AE40)</f>
        <v>3.4699999999999984</v>
      </c>
      <c r="AF41" s="30"/>
      <c r="AG41" s="30"/>
      <c r="AH41" s="30"/>
      <c r="AI41" s="11">
        <f>SUM(AI2:AI40)</f>
        <v>0</v>
      </c>
      <c r="AJ41" s="11">
        <f>SUM(AJ2:AJ40)</f>
        <v>0.60099999999999998</v>
      </c>
      <c r="AK41" s="11">
        <f>SUM(AK2:AK40)</f>
        <v>2.8689999999999984</v>
      </c>
    </row>
    <row r="42">
      <c r="AI42" s="25">
        <f>AI41/$AE$41</f>
        <v>0</v>
      </c>
      <c r="AJ42" s="25">
        <f>AJ41/$AE$41</f>
        <v>0.17319884726224791</v>
      </c>
      <c r="AK42" s="25">
        <f>AK41/$AE$41</f>
        <v>0.82680115273775212</v>
      </c>
    </row>
    <row r="43">
      <c r="AI43" s="31" t="s">
        <v>200</v>
      </c>
      <c r="AJ43" s="31"/>
      <c r="AK43" s="6" t="s">
        <v>201</v>
      </c>
    </row>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sheetData>
  <mergeCells count="1">
    <mergeCell ref="AI43:AJ43"/>
  </mergeCells>
  <conditionalFormatting sqref="AE2:AE40">
    <cfRule type="colorScale" priority="1">
      <colorScale>
        <cfvo type="min" val="&quot;&quot;"/>
        <cfvo type="max" val="&quot;&quot;"/>
        <color theme="9" tint="0.79998168889431442"/>
        <color rgb="FFFAD5D5"/>
      </colorScale>
    </cfRule>
  </conditionalFormatting>
  <conditionalFormatting sqref="AI2:AI40">
    <cfRule type="colorScale" priority="1">
      <colorScale>
        <cfvo type="min" val="&quot;&quot;"/>
        <cfvo type="max" val="&quot;&quot;"/>
        <color theme="9" tint="0.79998168889431442"/>
        <color rgb="FFFAD5D5"/>
      </colorScale>
    </cfRule>
  </conditionalFormatting>
  <conditionalFormatting sqref="AJ2:AJ40">
    <cfRule type="colorScale" priority="1">
      <colorScale>
        <cfvo type="min" val="&quot;&quot;"/>
        <cfvo type="max" val="&quot;&quot;"/>
        <color theme="9" tint="0.79998168889431442"/>
        <color rgb="FFFAD5D5"/>
      </colorScale>
    </cfRule>
  </conditionalFormatting>
  <conditionalFormatting sqref="AK2:AK40">
    <cfRule type="colorScale" priority="1">
      <colorScale>
        <cfvo type="min" val="&quot;&quot;"/>
        <cfvo type="max" val="&quot;&quot;"/>
        <color theme="9" tint="0.79998168889431442"/>
        <color rgb="FFFAD5D5"/>
      </colorScale>
    </cfRule>
  </conditionalFormatting>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pane xSplit="1" ySplit="1" topLeftCell="B2" activePane="bottomRight" state="frozen"/>
      <selection activeCell="A1" activeCellId="0" sqref="A1"/>
    </sheetView>
  </sheetViews>
  <sheetFormatPr defaultRowHeight="14.25"/>
  <cols>
    <col customWidth="1" min="1" max="1" width="44.421875"/>
    <col bestFit="1" min="2" max="2" style="16" width="9.7109375"/>
    <col bestFit="1" min="3" max="3" width="12.140625"/>
    <col bestFit="1" min="4" max="4" width="13.7109375"/>
    <col bestFit="1" min="5" max="5" width="5.28125"/>
    <col bestFit="1" min="6" max="6" width="12.00390625"/>
    <col bestFit="1" min="7" max="8" width="6.8515625"/>
    <col bestFit="1" min="9" max="9" width="7.8515625"/>
    <col bestFit="1" min="10" max="10" width="21.140625"/>
    <col bestFit="1" min="11" max="11" width="24.28125"/>
    <col bestFit="1" min="12" max="13" width="18.8515625"/>
    <col bestFit="1" min="14" max="14" width="10.421875"/>
    <col bestFit="1" min="15" max="15" width="12.140625"/>
    <col bestFit="1" min="16" max="18" width="10.421875"/>
    <col bestFit="1" min="19" max="19" width="15.7109375"/>
    <col bestFit="1" min="20" max="20" width="17.8515625"/>
    <col bestFit="1" min="21" max="22" width="16.00390625"/>
    <col bestFit="1" min="23" max="23" width="15.57421875"/>
    <col bestFit="1" min="24" max="24" width="7.8515625"/>
    <col bestFit="1" min="25" max="26" width="7.28125"/>
    <col bestFit="1" min="27" max="27" width="6.28125"/>
    <col bestFit="1" min="28" max="28" width="12.421875"/>
    <col bestFit="1" min="29" max="29" width="11.7109375"/>
    <col bestFit="1" customWidth="1" min="30" max="30" width="20.00390625"/>
    <col bestFit="1" min="31" max="31" style="17" width="12.00390625"/>
    <col bestFit="1" min="32" max="32" width="9.421875"/>
    <col bestFit="1" min="33" max="33" width="13.140625"/>
    <col bestFit="1" min="34" max="34" width="7.140625"/>
    <col bestFit="1" min="35" max="35" width="12.00390625"/>
    <col bestFit="1" min="36" max="36" width="15.7109375"/>
    <col bestFit="1" min="37" max="37" width="9.7109375"/>
  </cols>
  <sheetData>
    <row r="1" ht="14.25">
      <c r="A1" t="s">
        <v>85</v>
      </c>
      <c r="B1" s="16" t="s">
        <v>86</v>
      </c>
      <c r="C1" t="s">
        <v>87</v>
      </c>
      <c r="D1" t="s">
        <v>88</v>
      </c>
      <c r="E1" t="s">
        <v>89</v>
      </c>
      <c r="F1" t="s">
        <v>90</v>
      </c>
      <c r="G1" t="s">
        <v>91</v>
      </c>
      <c r="H1" t="s">
        <v>92</v>
      </c>
      <c r="I1" t="s">
        <v>93</v>
      </c>
      <c r="J1" t="s">
        <v>94</v>
      </c>
      <c r="K1" t="s">
        <v>95</v>
      </c>
      <c r="L1" t="s">
        <v>96</v>
      </c>
      <c r="M1" t="s">
        <v>202</v>
      </c>
      <c r="N1" t="s">
        <v>98</v>
      </c>
      <c r="O1" t="s">
        <v>99</v>
      </c>
      <c r="P1" t="s">
        <v>100</v>
      </c>
      <c r="Q1" t="s">
        <v>101</v>
      </c>
      <c r="R1" t="s">
        <v>203</v>
      </c>
      <c r="S1" t="s">
        <v>103</v>
      </c>
      <c r="T1" t="s">
        <v>104</v>
      </c>
      <c r="U1" t="s">
        <v>105</v>
      </c>
      <c r="V1" t="s">
        <v>106</v>
      </c>
      <c r="W1" t="s">
        <v>204</v>
      </c>
      <c r="X1" t="s">
        <v>108</v>
      </c>
      <c r="Y1" t="s">
        <v>109</v>
      </c>
      <c r="Z1" t="s">
        <v>108</v>
      </c>
      <c r="AA1" t="s">
        <v>109</v>
      </c>
      <c r="AB1" t="s">
        <v>110</v>
      </c>
      <c r="AC1" t="s">
        <v>111</v>
      </c>
      <c r="AD1" t="s">
        <v>112</v>
      </c>
      <c r="AE1" s="17" t="s">
        <v>205</v>
      </c>
      <c r="AF1" t="s">
        <v>114</v>
      </c>
      <c r="AG1" t="s">
        <v>115</v>
      </c>
      <c r="AH1" t="s">
        <v>116</v>
      </c>
      <c r="AI1" t="s">
        <v>117</v>
      </c>
      <c r="AJ1" t="s">
        <v>118</v>
      </c>
      <c r="AK1" t="s">
        <v>119</v>
      </c>
    </row>
    <row r="2" ht="14.25">
      <c r="A2" t="s">
        <v>120</v>
      </c>
      <c r="B2" s="16" t="s">
        <v>122</v>
      </c>
      <c r="C2" t="s">
        <v>206</v>
      </c>
      <c r="D2">
        <v>0</v>
      </c>
      <c r="E2" t="s">
        <v>123</v>
      </c>
      <c r="F2">
        <v>0</v>
      </c>
      <c r="G2" s="19">
        <v>0.124</v>
      </c>
      <c r="H2" s="19">
        <v>0.052000000000000005</v>
      </c>
      <c r="I2" s="19">
        <v>0.82400000000000007</v>
      </c>
      <c r="J2" s="19">
        <v>0.14699999999999999</v>
      </c>
      <c r="K2" s="20">
        <v>198767254</v>
      </c>
      <c r="L2" s="19">
        <v>0.019</v>
      </c>
      <c r="M2" s="21">
        <v>0</v>
      </c>
      <c r="N2" s="19">
        <v>0.0080000000000000002</v>
      </c>
      <c r="O2" s="19">
        <v>0.002</v>
      </c>
      <c r="P2" s="19">
        <v>0.10300000000000001</v>
      </c>
      <c r="Q2" s="19">
        <v>0.036000000000000004</v>
      </c>
      <c r="R2" s="21">
        <v>0</v>
      </c>
      <c r="S2" s="20">
        <v>238752757678</v>
      </c>
      <c r="T2" s="20">
        <v>49058623340</v>
      </c>
      <c r="U2" s="20">
        <v>3156059365562</v>
      </c>
      <c r="V2" s="20">
        <v>1092482663184</v>
      </c>
      <c r="W2" s="20">
        <v>0</v>
      </c>
      <c r="X2">
        <v>195.72399999999999</v>
      </c>
      <c r="Y2">
        <v>12.423</v>
      </c>
      <c r="Z2">
        <v>9.8719999999999999</v>
      </c>
      <c r="AA2">
        <v>9.5429999999999993</v>
      </c>
      <c r="AB2" s="20">
        <v>3780312488</v>
      </c>
      <c r="AC2">
        <v>0</v>
      </c>
      <c r="AD2" t="str">
        <f>LEFT(A2,18)</f>
        <v>[Unknown]</v>
      </c>
      <c r="AE2" s="32">
        <f>0+SUBSTITUTE(B2,"ms","")</f>
        <v>0</v>
      </c>
      <c r="AH2">
        <f>1-AF2-AG2</f>
        <v>1</v>
      </c>
      <c r="AI2" s="32">
        <f>AF2*$AE2</f>
        <v>0</v>
      </c>
      <c r="AJ2" s="32">
        <f>AG2*$AE2</f>
        <v>0</v>
      </c>
      <c r="AK2" s="32">
        <f>AH2*$AE2</f>
        <v>0</v>
      </c>
    </row>
    <row r="3" s="11" customFormat="1">
      <c r="A3" s="11" t="s">
        <v>124</v>
      </c>
      <c r="B3" s="24" t="s">
        <v>131</v>
      </c>
      <c r="C3" s="11" t="s">
        <v>207</v>
      </c>
      <c r="D3" s="11">
        <v>2</v>
      </c>
      <c r="E3" s="11" t="s">
        <v>123</v>
      </c>
      <c r="F3" s="11">
        <v>0</v>
      </c>
      <c r="G3" s="25">
        <v>0</v>
      </c>
      <c r="H3" s="25">
        <v>0</v>
      </c>
      <c r="I3" s="25">
        <v>1</v>
      </c>
      <c r="J3" s="25">
        <v>0</v>
      </c>
      <c r="K3" s="26">
        <v>0</v>
      </c>
      <c r="L3" s="25">
        <v>0</v>
      </c>
      <c r="M3" s="27">
        <v>0</v>
      </c>
      <c r="N3" s="25">
        <v>0</v>
      </c>
      <c r="O3" s="25">
        <v>0</v>
      </c>
      <c r="P3" s="25">
        <v>0</v>
      </c>
      <c r="Q3" s="25">
        <v>0</v>
      </c>
      <c r="R3" s="27">
        <v>0</v>
      </c>
      <c r="S3" s="26">
        <v>0</v>
      </c>
      <c r="T3" s="26">
        <v>0</v>
      </c>
      <c r="U3" s="26">
        <v>0</v>
      </c>
      <c r="V3" s="26">
        <v>0</v>
      </c>
      <c r="W3" s="26">
        <v>0</v>
      </c>
      <c r="X3" s="11">
        <v>0</v>
      </c>
      <c r="Y3" s="11">
        <v>0</v>
      </c>
      <c r="Z3" s="11">
        <v>0</v>
      </c>
      <c r="AA3" s="11">
        <v>0</v>
      </c>
      <c r="AB3" s="26">
        <v>0</v>
      </c>
      <c r="AC3" s="11">
        <v>0</v>
      </c>
      <c r="AD3" t="str">
        <f>LEFT(A3,18)</f>
        <v>bias_act_kernel_la</v>
      </c>
      <c r="AE3" s="32">
        <f>0+SUBSTITUTE(B3,"ms","")/1000</f>
        <v>3.0000000000000001e-06</v>
      </c>
      <c r="AF3" s="11">
        <v>1</v>
      </c>
      <c r="AG3" s="11"/>
      <c r="AH3">
        <f>1-AF3-AG3</f>
        <v>0</v>
      </c>
      <c r="AI3" s="32">
        <f>AF3*$AE3</f>
        <v>3.0000000000000001e-06</v>
      </c>
      <c r="AJ3" s="32">
        <f>AG3*$AE3</f>
        <v>0</v>
      </c>
      <c r="AK3" s="32">
        <f>AH3*$AE3</f>
        <v>0</v>
      </c>
    </row>
    <row r="4" ht="14.25">
      <c r="A4" t="s">
        <v>127</v>
      </c>
      <c r="B4" s="16" t="s">
        <v>208</v>
      </c>
      <c r="C4" t="s">
        <v>209</v>
      </c>
      <c r="D4" s="20">
        <v>2904</v>
      </c>
      <c r="E4" t="s">
        <v>123</v>
      </c>
      <c r="F4">
        <v>0</v>
      </c>
      <c r="G4" s="19">
        <v>0.439</v>
      </c>
      <c r="H4" s="19">
        <v>0.43099999999999999</v>
      </c>
      <c r="I4" s="19">
        <v>0.13</v>
      </c>
      <c r="J4" s="19">
        <v>0.74900000000000011</v>
      </c>
      <c r="K4" s="20">
        <v>370529</v>
      </c>
      <c r="L4" s="19">
        <v>0.044999999999999998</v>
      </c>
      <c r="M4" s="21">
        <v>0</v>
      </c>
      <c r="N4" s="19">
        <v>0.022000000000000002</v>
      </c>
      <c r="O4" s="19">
        <v>0.0040000000000000001</v>
      </c>
      <c r="P4" s="19">
        <v>0.34499999999999997</v>
      </c>
      <c r="Q4" s="19">
        <v>0.13</v>
      </c>
      <c r="R4" s="21">
        <v>0</v>
      </c>
      <c r="S4" s="20">
        <v>61423404</v>
      </c>
      <c r="T4" s="20">
        <v>11627558</v>
      </c>
      <c r="U4" s="20">
        <v>969883322</v>
      </c>
      <c r="V4" s="20">
        <v>367039360</v>
      </c>
      <c r="W4">
        <v>0</v>
      </c>
      <c r="X4">
        <v>663.47000000000003</v>
      </c>
      <c r="Y4">
        <v>101.163</v>
      </c>
      <c r="Z4">
        <v>73.373000000000005</v>
      </c>
      <c r="AA4">
        <v>40.494999999999997</v>
      </c>
      <c r="AB4" s="20">
        <v>1285232</v>
      </c>
      <c r="AC4">
        <v>0</v>
      </c>
      <c r="AD4" t="str">
        <f>LEFT(A4,18)</f>
        <v>conv_reorder</v>
      </c>
      <c r="AE4" s="32">
        <f>0+SUBSTITUTE(B4,"ms","")/1000</f>
        <v>0.003591</v>
      </c>
      <c r="AH4">
        <f>1-AF4-AG4</f>
        <v>1</v>
      </c>
      <c r="AI4" s="32">
        <f>AF4*$AE4</f>
        <v>0</v>
      </c>
      <c r="AJ4" s="32">
        <f>AG4*$AE4</f>
        <v>0</v>
      </c>
      <c r="AK4" s="32">
        <f>AH4*$AE4</f>
        <v>0.003591</v>
      </c>
    </row>
    <row r="5" ht="14.25">
      <c r="A5" t="s">
        <v>130</v>
      </c>
      <c r="B5" s="16" t="s">
        <v>210</v>
      </c>
      <c r="C5" t="s">
        <v>211</v>
      </c>
      <c r="D5">
        <v>132</v>
      </c>
      <c r="E5" t="s">
        <v>123</v>
      </c>
      <c r="F5">
        <v>0</v>
      </c>
      <c r="G5" s="19">
        <v>0</v>
      </c>
      <c r="H5" s="19">
        <v>0</v>
      </c>
      <c r="I5" s="19">
        <v>1</v>
      </c>
      <c r="J5" s="19">
        <v>0</v>
      </c>
      <c r="K5" s="20">
        <v>0</v>
      </c>
      <c r="L5" s="19">
        <v>0</v>
      </c>
      <c r="M5" s="21">
        <v>0</v>
      </c>
      <c r="N5" s="21">
        <v>0</v>
      </c>
      <c r="O5" s="19">
        <v>0</v>
      </c>
      <c r="P5" s="19">
        <v>0</v>
      </c>
      <c r="Q5" s="21">
        <v>0</v>
      </c>
      <c r="R5" s="21">
        <v>0</v>
      </c>
      <c r="S5" s="20">
        <v>0</v>
      </c>
      <c r="T5" s="20">
        <v>0</v>
      </c>
      <c r="U5" s="20">
        <v>0</v>
      </c>
      <c r="V5" s="20">
        <v>0</v>
      </c>
      <c r="W5" s="20">
        <v>0</v>
      </c>
      <c r="X5">
        <v>0</v>
      </c>
      <c r="Y5">
        <v>0</v>
      </c>
      <c r="Z5">
        <v>0</v>
      </c>
      <c r="AA5">
        <v>0</v>
      </c>
      <c r="AB5" s="20">
        <v>0</v>
      </c>
      <c r="AC5">
        <v>0</v>
      </c>
      <c r="AD5" t="str">
        <f>LEFT(A5,18)</f>
        <v>DpcppElementwiseKe</v>
      </c>
      <c r="AE5" s="32">
        <f>0+SUBSTITUTE(B5,"ms","")/1000</f>
        <v>0.00014899999999999999</v>
      </c>
      <c r="AH5">
        <f>1-AF5-AG5</f>
        <v>1</v>
      </c>
      <c r="AI5" s="32">
        <f>AF5*$AE5</f>
        <v>0</v>
      </c>
      <c r="AJ5" s="32">
        <f>AG5*$AE5</f>
        <v>0</v>
      </c>
      <c r="AK5" s="32">
        <f>AH5*$AE5</f>
        <v>0.00014899999999999999</v>
      </c>
    </row>
    <row r="6" ht="14.25">
      <c r="A6" t="s">
        <v>132</v>
      </c>
      <c r="B6" s="16" t="s">
        <v>212</v>
      </c>
      <c r="C6" t="s">
        <v>213</v>
      </c>
      <c r="D6">
        <v>66</v>
      </c>
      <c r="E6" t="s">
        <v>123</v>
      </c>
      <c r="F6">
        <v>0</v>
      </c>
      <c r="G6" s="21">
        <v>0</v>
      </c>
      <c r="H6" s="21">
        <v>0</v>
      </c>
      <c r="I6" s="21">
        <v>1</v>
      </c>
      <c r="J6" s="21">
        <v>0</v>
      </c>
      <c r="K6">
        <v>0</v>
      </c>
      <c r="L6" s="21">
        <v>0</v>
      </c>
      <c r="M6" s="21">
        <v>0</v>
      </c>
      <c r="N6" s="21">
        <v>0</v>
      </c>
      <c r="O6" s="21">
        <v>0</v>
      </c>
      <c r="P6" s="21">
        <v>0</v>
      </c>
      <c r="Q6" s="21">
        <v>0</v>
      </c>
      <c r="R6" s="21">
        <v>0</v>
      </c>
      <c r="S6" s="20">
        <v>0</v>
      </c>
      <c r="T6">
        <v>0</v>
      </c>
      <c r="U6" s="20">
        <v>0</v>
      </c>
      <c r="V6" s="20">
        <v>0</v>
      </c>
      <c r="W6">
        <v>0</v>
      </c>
      <c r="X6">
        <v>0</v>
      </c>
      <c r="Y6">
        <v>0</v>
      </c>
      <c r="Z6">
        <v>0</v>
      </c>
      <c r="AA6">
        <v>0</v>
      </c>
      <c r="AB6">
        <v>0</v>
      </c>
      <c r="AC6">
        <v>0</v>
      </c>
      <c r="AD6" t="str">
        <f>LEFT(A6,18)</f>
        <v>ElementwiseKernelF</v>
      </c>
      <c r="AE6" s="32">
        <f>0+SUBSTITUTE(B6,"ms","")/1000</f>
        <v>7.3999999999999996e-05</v>
      </c>
      <c r="AH6">
        <f>1-AF6-AG6</f>
        <v>1</v>
      </c>
      <c r="AI6" s="32">
        <f>AF6*$AE6</f>
        <v>0</v>
      </c>
      <c r="AJ6" s="32">
        <f>AG6*$AE6</f>
        <v>0</v>
      </c>
      <c r="AK6" s="32">
        <f>AH6*$AE6</f>
        <v>7.3999999999999996e-05</v>
      </c>
    </row>
    <row r="7" ht="14.25">
      <c r="A7" t="s">
        <v>134</v>
      </c>
      <c r="B7" s="16" t="s">
        <v>214</v>
      </c>
      <c r="C7" t="s">
        <v>215</v>
      </c>
      <c r="D7" s="20">
        <v>4753</v>
      </c>
      <c r="E7" t="s">
        <v>123</v>
      </c>
      <c r="F7">
        <v>0</v>
      </c>
      <c r="G7" s="21">
        <v>0.14300000000000002</v>
      </c>
      <c r="H7" s="21">
        <v>0.188</v>
      </c>
      <c r="I7" s="21">
        <v>0.66900000000000004</v>
      </c>
      <c r="J7" s="21">
        <v>0.307</v>
      </c>
      <c r="K7" s="20">
        <v>17230</v>
      </c>
      <c r="L7" s="21">
        <v>0.0030000000000000001</v>
      </c>
      <c r="M7" s="21">
        <v>0</v>
      </c>
      <c r="N7" s="21">
        <v>0.014999999999999999</v>
      </c>
      <c r="O7" s="21">
        <v>0.0090000000000000011</v>
      </c>
      <c r="P7" s="21">
        <v>0.0090000000000000011</v>
      </c>
      <c r="Q7" s="21">
        <v>0.128</v>
      </c>
      <c r="R7" s="21">
        <v>0</v>
      </c>
      <c r="S7" s="20">
        <v>7324040</v>
      </c>
      <c r="T7" s="20">
        <v>4567036</v>
      </c>
      <c r="U7" s="20">
        <v>4651790</v>
      </c>
      <c r="V7" s="20">
        <v>64201132</v>
      </c>
      <c r="W7" s="20">
        <v>0</v>
      </c>
      <c r="X7">
        <v>9.1479999999999997</v>
      </c>
      <c r="Y7">
        <v>6.4080000000000004</v>
      </c>
      <c r="Z7">
        <v>8.9109999999999996</v>
      </c>
      <c r="AA7">
        <v>4.5170000000000003</v>
      </c>
      <c r="AB7" s="20">
        <v>1792</v>
      </c>
      <c r="AC7">
        <v>0</v>
      </c>
      <c r="AD7" t="str">
        <f>LEFT(A7,18)</f>
        <v>ElementwiseKernelF</v>
      </c>
      <c r="AE7" s="32">
        <f>0+SUBSTITUTE(B7,"ms","")/1000</f>
        <v>0.004823</v>
      </c>
      <c r="AH7">
        <f>1-AF7-AG7</f>
        <v>1</v>
      </c>
      <c r="AI7" s="32">
        <f>AF7*$AE7</f>
        <v>0</v>
      </c>
      <c r="AJ7" s="32">
        <f>AG7*$AE7</f>
        <v>0</v>
      </c>
      <c r="AK7" s="32">
        <f>AH7*$AE7</f>
        <v>0.004823</v>
      </c>
    </row>
    <row r="8" ht="14.25">
      <c r="A8" t="s">
        <v>137</v>
      </c>
      <c r="B8" s="16" t="s">
        <v>216</v>
      </c>
      <c r="C8" t="s">
        <v>217</v>
      </c>
      <c r="D8">
        <v>264</v>
      </c>
      <c r="E8" t="s">
        <v>123</v>
      </c>
      <c r="F8">
        <v>0</v>
      </c>
      <c r="G8" s="21">
        <v>0</v>
      </c>
      <c r="H8" s="19">
        <v>0</v>
      </c>
      <c r="I8" s="19">
        <v>1</v>
      </c>
      <c r="J8" s="21">
        <v>0</v>
      </c>
      <c r="K8">
        <v>0</v>
      </c>
      <c r="L8" s="21">
        <v>0</v>
      </c>
      <c r="M8" s="21">
        <v>0</v>
      </c>
      <c r="N8" s="21">
        <v>0</v>
      </c>
      <c r="O8" s="21">
        <v>0</v>
      </c>
      <c r="P8" s="21">
        <v>0</v>
      </c>
      <c r="Q8" s="21">
        <v>0</v>
      </c>
      <c r="R8" s="21">
        <v>0</v>
      </c>
      <c r="S8" s="20">
        <v>0</v>
      </c>
      <c r="T8" s="20">
        <v>0</v>
      </c>
      <c r="U8" s="20">
        <v>0</v>
      </c>
      <c r="V8" s="20">
        <v>0</v>
      </c>
      <c r="W8">
        <v>0</v>
      </c>
      <c r="X8">
        <v>0</v>
      </c>
      <c r="Y8">
        <v>0</v>
      </c>
      <c r="Z8">
        <v>0</v>
      </c>
      <c r="AA8">
        <v>0</v>
      </c>
      <c r="AB8">
        <v>0</v>
      </c>
      <c r="AC8">
        <v>0</v>
      </c>
      <c r="AD8" t="str">
        <f>LEFT(A8,18)</f>
        <v>ElementwiseKernelF</v>
      </c>
      <c r="AE8" s="32">
        <f>0+SUBSTITUTE(B8,"ms","")/1000</f>
        <v>0.000417</v>
      </c>
      <c r="AH8">
        <f>1-AF8-AG8</f>
        <v>1</v>
      </c>
      <c r="AI8" s="32">
        <f>AF8*$AE8</f>
        <v>0</v>
      </c>
      <c r="AJ8" s="32">
        <f>AG8*$AE8</f>
        <v>0</v>
      </c>
      <c r="AK8" s="32">
        <f>AH8*$AE8</f>
        <v>0.000417</v>
      </c>
    </row>
    <row r="9" ht="14.25">
      <c r="A9" t="s">
        <v>139</v>
      </c>
      <c r="B9" s="16" t="s">
        <v>218</v>
      </c>
      <c r="C9" t="s">
        <v>219</v>
      </c>
      <c r="D9">
        <v>265</v>
      </c>
      <c r="E9" t="s">
        <v>123</v>
      </c>
      <c r="F9">
        <v>0</v>
      </c>
      <c r="G9" s="19">
        <v>0</v>
      </c>
      <c r="H9" s="19">
        <v>0</v>
      </c>
      <c r="I9" s="19">
        <v>1</v>
      </c>
      <c r="J9" s="19">
        <v>0</v>
      </c>
      <c r="K9" s="20">
        <v>0</v>
      </c>
      <c r="L9" s="19">
        <v>0</v>
      </c>
      <c r="M9" s="21">
        <v>0</v>
      </c>
      <c r="N9" s="19">
        <v>0</v>
      </c>
      <c r="O9" s="19">
        <v>0</v>
      </c>
      <c r="P9" s="19">
        <v>0</v>
      </c>
      <c r="Q9" s="19">
        <v>0</v>
      </c>
      <c r="R9" s="21">
        <v>0</v>
      </c>
      <c r="S9" s="20">
        <v>0</v>
      </c>
      <c r="T9" s="20">
        <v>0</v>
      </c>
      <c r="U9" s="20">
        <v>0</v>
      </c>
      <c r="V9" s="20">
        <v>0</v>
      </c>
      <c r="W9">
        <v>0</v>
      </c>
      <c r="X9">
        <v>0</v>
      </c>
      <c r="Y9">
        <v>0</v>
      </c>
      <c r="Z9">
        <v>0</v>
      </c>
      <c r="AA9">
        <v>0</v>
      </c>
      <c r="AB9" s="20">
        <v>0</v>
      </c>
      <c r="AC9">
        <v>0</v>
      </c>
      <c r="AD9" t="str">
        <f>LEFT(A9,18)</f>
        <v>ElementwiseKernelF</v>
      </c>
      <c r="AE9" s="32">
        <f>0+SUBSTITUTE(B9,"ms","")/1000</f>
        <v>0.00029700000000000001</v>
      </c>
      <c r="AH9">
        <f>1-AF9-AG9</f>
        <v>1</v>
      </c>
      <c r="AI9" s="32">
        <f>AF9*$AE9</f>
        <v>0</v>
      </c>
      <c r="AJ9" s="32">
        <f>AG9*$AE9</f>
        <v>0</v>
      </c>
      <c r="AK9" s="32">
        <f>AH9*$AE9</f>
        <v>0.00029700000000000001</v>
      </c>
    </row>
    <row r="10" ht="14.25">
      <c r="A10" t="s">
        <v>142</v>
      </c>
      <c r="B10" s="16" t="s">
        <v>220</v>
      </c>
      <c r="C10" t="s">
        <v>221</v>
      </c>
      <c r="D10" s="20">
        <v>1520</v>
      </c>
      <c r="E10" t="s">
        <v>123</v>
      </c>
      <c r="F10">
        <v>0</v>
      </c>
      <c r="G10" s="19">
        <v>0.021000000000000001</v>
      </c>
      <c r="H10" s="19">
        <v>0.26000000000000001</v>
      </c>
      <c r="I10" s="19">
        <v>0.71900000000000008</v>
      </c>
      <c r="J10" s="19">
        <v>0.16899999999999998</v>
      </c>
      <c r="K10" s="20">
        <v>4058</v>
      </c>
      <c r="L10" s="19">
        <v>0.001</v>
      </c>
      <c r="M10" s="21">
        <v>0</v>
      </c>
      <c r="N10" s="19">
        <v>0.0040000000000000001</v>
      </c>
      <c r="O10" s="19">
        <v>0</v>
      </c>
      <c r="P10" s="19">
        <v>0.002</v>
      </c>
      <c r="Q10" s="21">
        <v>0.016</v>
      </c>
      <c r="R10" s="21">
        <v>0</v>
      </c>
      <c r="S10" s="20">
        <v>249918</v>
      </c>
      <c r="T10" s="20">
        <v>30972</v>
      </c>
      <c r="U10" s="20">
        <v>115462</v>
      </c>
      <c r="V10" s="20">
        <v>1047332</v>
      </c>
      <c r="W10" s="20">
        <v>0</v>
      </c>
      <c r="X10">
        <v>1.6970000000000001</v>
      </c>
      <c r="Y10">
        <v>3.141</v>
      </c>
      <c r="Z10">
        <v>2.0230000000000001</v>
      </c>
      <c r="AA10">
        <v>0.78700000000000003</v>
      </c>
      <c r="AB10" s="20">
        <v>2036</v>
      </c>
      <c r="AC10">
        <v>0</v>
      </c>
      <c r="AD10" t="str">
        <f>LEFT(A10,18)</f>
        <v>gemm_kernel</v>
      </c>
      <c r="AE10" s="32">
        <f>0+SUBSTITUTE(B10,"ms","")/1000</f>
        <v>0.002104</v>
      </c>
      <c r="AH10">
        <f>1-AF10-AG10</f>
        <v>1</v>
      </c>
      <c r="AI10" s="32">
        <f>AF10*$AE10</f>
        <v>0</v>
      </c>
      <c r="AJ10" s="32">
        <f>AG10*$AE10</f>
        <v>0</v>
      </c>
      <c r="AK10" s="32">
        <f>AH10*$AE10</f>
        <v>0.002104</v>
      </c>
    </row>
    <row r="11" ht="14.25">
      <c r="A11" t="s">
        <v>144</v>
      </c>
      <c r="B11" s="16" t="s">
        <v>222</v>
      </c>
      <c r="C11" t="s">
        <v>223</v>
      </c>
      <c r="D11">
        <v>990</v>
      </c>
      <c r="E11" t="s">
        <v>123</v>
      </c>
      <c r="F11">
        <v>0</v>
      </c>
      <c r="G11" s="19">
        <v>0</v>
      </c>
      <c r="H11" s="19">
        <v>0</v>
      </c>
      <c r="I11" s="19">
        <v>1</v>
      </c>
      <c r="J11" s="19">
        <v>0</v>
      </c>
      <c r="K11" s="20">
        <v>0</v>
      </c>
      <c r="L11" s="19">
        <v>0</v>
      </c>
      <c r="M11" s="21">
        <v>0</v>
      </c>
      <c r="N11" s="19">
        <v>0</v>
      </c>
      <c r="O11" s="19">
        <v>0</v>
      </c>
      <c r="P11" s="19">
        <v>0</v>
      </c>
      <c r="Q11" s="19">
        <v>0</v>
      </c>
      <c r="R11" s="21">
        <v>0</v>
      </c>
      <c r="S11" s="20">
        <v>0</v>
      </c>
      <c r="T11" s="20">
        <v>0</v>
      </c>
      <c r="U11" s="20">
        <v>0</v>
      </c>
      <c r="V11" s="20">
        <v>0</v>
      </c>
      <c r="W11">
        <v>0</v>
      </c>
      <c r="X11" s="28">
        <v>0</v>
      </c>
      <c r="Y11">
        <v>0</v>
      </c>
      <c r="Z11">
        <v>0</v>
      </c>
      <c r="AA11">
        <v>0</v>
      </c>
      <c r="AB11" s="20">
        <v>0</v>
      </c>
      <c r="AC11">
        <v>0</v>
      </c>
      <c r="AD11" t="str">
        <f>LEFT(A11,18)</f>
        <v>gen_conv</v>
      </c>
      <c r="AE11" s="32">
        <f>0+SUBSTITUTE(B11,"ms","")/1000</f>
        <v>0.001328</v>
      </c>
      <c r="AH11">
        <f>1-AF11-AG11</f>
        <v>1</v>
      </c>
      <c r="AI11" s="32">
        <f>AF11*$AE11</f>
        <v>0</v>
      </c>
      <c r="AJ11" s="32">
        <f>AG11*$AE11</f>
        <v>0</v>
      </c>
      <c r="AK11" s="32">
        <f>AH11*$AE11</f>
        <v>0.001328</v>
      </c>
    </row>
    <row r="12" ht="14.25">
      <c r="A12" t="s">
        <v>147</v>
      </c>
      <c r="B12" s="16" t="s">
        <v>224</v>
      </c>
      <c r="C12" t="s">
        <v>225</v>
      </c>
      <c r="D12">
        <v>924</v>
      </c>
      <c r="E12" t="s">
        <v>123</v>
      </c>
      <c r="F12">
        <v>0</v>
      </c>
      <c r="G12" s="19">
        <v>0.0040000000000000001</v>
      </c>
      <c r="H12" s="19">
        <v>0.042000000000000003</v>
      </c>
      <c r="I12" s="19">
        <v>0.95400000000000007</v>
      </c>
      <c r="J12" s="21">
        <v>0.023</v>
      </c>
      <c r="K12" s="20">
        <v>160</v>
      </c>
      <c r="L12" s="19">
        <v>0</v>
      </c>
      <c r="M12" s="21">
        <v>0</v>
      </c>
      <c r="N12" s="19">
        <v>0</v>
      </c>
      <c r="O12" s="19">
        <v>0</v>
      </c>
      <c r="P12" s="19">
        <v>0.001</v>
      </c>
      <c r="Q12" s="19">
        <v>0.0030000000000000001</v>
      </c>
      <c r="R12" s="21">
        <v>0</v>
      </c>
      <c r="S12" s="20">
        <v>28270</v>
      </c>
      <c r="T12" s="20">
        <v>19414</v>
      </c>
      <c r="U12" s="20">
        <v>30406</v>
      </c>
      <c r="V12" s="20">
        <v>181576</v>
      </c>
      <c r="W12">
        <v>0</v>
      </c>
      <c r="X12">
        <v>0.495</v>
      </c>
      <c r="Y12">
        <v>0.002</v>
      </c>
      <c r="Z12">
        <v>0.47799999999999998</v>
      </c>
      <c r="AA12">
        <v>0.0030000000000000001</v>
      </c>
      <c r="AB12" s="20">
        <v>308</v>
      </c>
      <c r="AC12">
        <v>0</v>
      </c>
      <c r="AD12" t="str">
        <f>LEFT(A12,18)</f>
        <v>reduce_kernel&lt;(int</v>
      </c>
      <c r="AE12" s="32">
        <f>0+SUBSTITUTE(B12,"ms","")/1000</f>
        <v>0.0016020000000000001</v>
      </c>
      <c r="AH12">
        <f>1-AF12-AG12</f>
        <v>1</v>
      </c>
      <c r="AI12" s="32">
        <f>AF12*$AE12</f>
        <v>0</v>
      </c>
      <c r="AJ12" s="32">
        <f>AG12*$AE12</f>
        <v>0</v>
      </c>
      <c r="AK12" s="32">
        <f>AH12*$AE12</f>
        <v>0.0016020000000000001</v>
      </c>
    </row>
    <row r="13" ht="14.25">
      <c r="A13" t="s">
        <v>150</v>
      </c>
      <c r="B13" s="16" t="s">
        <v>226</v>
      </c>
      <c r="C13" t="s">
        <v>227</v>
      </c>
      <c r="D13">
        <v>132</v>
      </c>
      <c r="E13" t="s">
        <v>123</v>
      </c>
      <c r="F13">
        <v>0</v>
      </c>
      <c r="G13" s="21">
        <v>0</v>
      </c>
      <c r="H13" s="19">
        <v>0</v>
      </c>
      <c r="I13" s="19">
        <v>1</v>
      </c>
      <c r="J13" s="21">
        <v>0</v>
      </c>
      <c r="K13">
        <v>0</v>
      </c>
      <c r="L13" s="21">
        <v>0</v>
      </c>
      <c r="M13" s="21">
        <v>0</v>
      </c>
      <c r="N13" s="21">
        <v>0</v>
      </c>
      <c r="O13" s="21">
        <v>0</v>
      </c>
      <c r="P13" s="21">
        <v>0</v>
      </c>
      <c r="Q13" s="21">
        <v>0</v>
      </c>
      <c r="R13" s="21">
        <v>0</v>
      </c>
      <c r="S13" s="20">
        <v>0</v>
      </c>
      <c r="T13" s="20">
        <v>0</v>
      </c>
      <c r="U13" s="20">
        <v>0</v>
      </c>
      <c r="V13" s="20">
        <v>0</v>
      </c>
      <c r="W13">
        <v>0</v>
      </c>
      <c r="X13">
        <v>0</v>
      </c>
      <c r="Y13">
        <v>0</v>
      </c>
      <c r="Z13">
        <v>0</v>
      </c>
      <c r="AA13">
        <v>0</v>
      </c>
      <c r="AB13">
        <v>0</v>
      </c>
      <c r="AC13">
        <v>0</v>
      </c>
      <c r="AD13" t="str">
        <f>LEFT(A13,18)</f>
        <v>reduce_kernel&lt;(int</v>
      </c>
      <c r="AE13" s="32">
        <f>0+SUBSTITUTE(B13,"ms","")/1000</f>
        <v>0.000147</v>
      </c>
      <c r="AH13">
        <f>1-AF13-AG13</f>
        <v>1</v>
      </c>
      <c r="AI13" s="32">
        <f>AF13*$AE13</f>
        <v>0</v>
      </c>
      <c r="AJ13" s="32">
        <f>AG13*$AE13</f>
        <v>0</v>
      </c>
      <c r="AK13" s="32">
        <f>AH13*$AE13</f>
        <v>0.000147</v>
      </c>
    </row>
    <row r="14" ht="14.25">
      <c r="A14" t="s">
        <v>153</v>
      </c>
      <c r="B14" s="16" t="s">
        <v>228</v>
      </c>
      <c r="C14" t="s">
        <v>229</v>
      </c>
      <c r="D14" s="20">
        <v>1849</v>
      </c>
      <c r="E14" t="s">
        <v>123</v>
      </c>
      <c r="F14">
        <v>0</v>
      </c>
      <c r="G14" s="19">
        <v>0.031</v>
      </c>
      <c r="H14" s="19">
        <v>0.34100000000000003</v>
      </c>
      <c r="I14" s="21">
        <v>0.628</v>
      </c>
      <c r="J14" s="19">
        <v>0.26800000000000002</v>
      </c>
      <c r="K14" s="20">
        <v>22144</v>
      </c>
      <c r="L14" s="19">
        <v>0.001</v>
      </c>
      <c r="M14" s="21">
        <v>0</v>
      </c>
      <c r="N14" s="19">
        <v>0.0060000000000000001</v>
      </c>
      <c r="O14" s="21">
        <v>0.001</v>
      </c>
      <c r="P14" s="19">
        <v>0.0030000000000000001</v>
      </c>
      <c r="Q14" s="19">
        <v>0.024</v>
      </c>
      <c r="R14" s="21">
        <v>0</v>
      </c>
      <c r="S14" s="20">
        <v>1796822</v>
      </c>
      <c r="T14" s="20">
        <v>297026</v>
      </c>
      <c r="U14" s="20">
        <v>887808</v>
      </c>
      <c r="V14" s="20">
        <v>7022372</v>
      </c>
      <c r="W14" s="20">
        <v>0</v>
      </c>
      <c r="X14">
        <v>10.141999999999999</v>
      </c>
      <c r="Y14">
        <v>19.594999999999999</v>
      </c>
      <c r="Z14">
        <v>13.119</v>
      </c>
      <c r="AA14">
        <v>4.9080000000000004</v>
      </c>
      <c r="AB14" s="20">
        <v>1636</v>
      </c>
      <c r="AC14">
        <v>0</v>
      </c>
      <c r="AD14" t="str">
        <f>LEFT(A14,18)</f>
        <v>reduce_kernel&lt;(int</v>
      </c>
      <c r="AE14" s="32">
        <f>0+SUBSTITUTE(B14,"ms","")/1000</f>
        <v>0.0022269999999999998</v>
      </c>
      <c r="AH14">
        <f>1-AF14-AG14</f>
        <v>1</v>
      </c>
      <c r="AI14" s="32">
        <f>AF14*$AE14</f>
        <v>0</v>
      </c>
      <c r="AJ14" s="32">
        <f>AG14*$AE14</f>
        <v>0</v>
      </c>
      <c r="AK14" s="32">
        <f>AH14*$AE14</f>
        <v>0.0022269999999999998</v>
      </c>
    </row>
    <row r="15" s="11" customFormat="1">
      <c r="A15" s="11" t="s">
        <v>156</v>
      </c>
      <c r="B15" s="24" t="s">
        <v>230</v>
      </c>
      <c r="C15" s="11" t="s">
        <v>231</v>
      </c>
      <c r="D15" s="11">
        <v>594</v>
      </c>
      <c r="E15" s="11" t="s">
        <v>123</v>
      </c>
      <c r="F15" s="11">
        <v>0</v>
      </c>
      <c r="G15" s="25">
        <v>0.51800000000000002</v>
      </c>
      <c r="H15" s="25">
        <v>0.30599999999999999</v>
      </c>
      <c r="I15" s="25">
        <v>0.17600000000000002</v>
      </c>
      <c r="J15" s="25">
        <v>0.68700000000000006</v>
      </c>
      <c r="K15" s="26">
        <v>73544</v>
      </c>
      <c r="L15" s="25">
        <v>0.054000000000000006</v>
      </c>
      <c r="M15" s="27">
        <v>0</v>
      </c>
      <c r="N15" s="25">
        <v>0.024</v>
      </c>
      <c r="O15" s="25">
        <v>0.0030000000000000001</v>
      </c>
      <c r="P15" s="25">
        <v>0.45100000000000001</v>
      </c>
      <c r="Q15" s="25">
        <v>0.114</v>
      </c>
      <c r="R15" s="27">
        <v>0</v>
      </c>
      <c r="S15" s="26">
        <v>43813334</v>
      </c>
      <c r="T15" s="26">
        <v>4810552</v>
      </c>
      <c r="U15" s="26">
        <v>817002106</v>
      </c>
      <c r="V15" s="26">
        <v>205689972</v>
      </c>
      <c r="W15" s="11">
        <v>0</v>
      </c>
      <c r="X15" s="33">
        <v>1664.3979999999999</v>
      </c>
      <c r="Y15" s="11">
        <v>218.721</v>
      </c>
      <c r="Z15" s="11">
        <v>215.35499999999999</v>
      </c>
      <c r="AA15" s="11">
        <v>157.321</v>
      </c>
      <c r="AB15" s="26">
        <v>1114330</v>
      </c>
      <c r="AC15" s="11">
        <v>0</v>
      </c>
      <c r="AD15" t="str">
        <f>LEFT(A15,18)</f>
        <v>run_filtered_lrelu</v>
      </c>
      <c r="AE15" s="32">
        <f>0+SUBSTITUTE(B15,"ms","")/1000</f>
        <v>0.00067000000000000002</v>
      </c>
      <c r="AG15" s="11">
        <v>1</v>
      </c>
      <c r="AH15">
        <f>1-AF15-AG15</f>
        <v>0</v>
      </c>
      <c r="AI15" s="32">
        <f>AF15*$AE15</f>
        <v>0</v>
      </c>
      <c r="AJ15" s="32">
        <f>AG15*$AE15</f>
        <v>0.00067000000000000002</v>
      </c>
      <c r="AK15" s="32">
        <f>AH15*$AE15</f>
        <v>0</v>
      </c>
    </row>
    <row r="16" s="11" customFormat="1">
      <c r="A16" s="11" t="s">
        <v>157</v>
      </c>
      <c r="B16" s="24" t="s">
        <v>232</v>
      </c>
      <c r="C16" s="11" t="s">
        <v>233</v>
      </c>
      <c r="D16" s="11">
        <v>594</v>
      </c>
      <c r="E16" s="11" t="s">
        <v>123</v>
      </c>
      <c r="F16" s="11">
        <v>0</v>
      </c>
      <c r="G16" s="25">
        <v>0.42499999999999999</v>
      </c>
      <c r="H16" s="25">
        <v>0.51500000000000001</v>
      </c>
      <c r="I16" s="25">
        <v>0.059999999999999998</v>
      </c>
      <c r="J16" s="25">
        <v>0.46299999999999997</v>
      </c>
      <c r="K16" s="26">
        <v>59984</v>
      </c>
      <c r="L16" s="25">
        <v>0.024</v>
      </c>
      <c r="M16" s="27">
        <v>0</v>
      </c>
      <c r="N16" s="25">
        <v>0.093000000000000013</v>
      </c>
      <c r="O16" s="25">
        <v>0.029999999999999999</v>
      </c>
      <c r="P16" s="25">
        <v>0.16899999999999998</v>
      </c>
      <c r="Q16" s="25">
        <v>0.217</v>
      </c>
      <c r="R16" s="27">
        <v>0</v>
      </c>
      <c r="S16" s="26">
        <v>274005630</v>
      </c>
      <c r="T16" s="26">
        <v>88941552</v>
      </c>
      <c r="U16" s="26">
        <v>499658702</v>
      </c>
      <c r="V16" s="26">
        <v>640243386</v>
      </c>
      <c r="W16" s="26">
        <v>0</v>
      </c>
      <c r="X16" s="11">
        <v>159.12200000000001</v>
      </c>
      <c r="Y16" s="11">
        <v>116.97499999999999</v>
      </c>
      <c r="Z16" s="11">
        <v>115.566</v>
      </c>
      <c r="AA16" s="11">
        <v>120.54000000000001</v>
      </c>
      <c r="AB16" s="26">
        <v>2759098</v>
      </c>
      <c r="AC16" s="11">
        <v>0</v>
      </c>
      <c r="AD16" t="str">
        <f>LEFT(A16,18)</f>
        <v>run_filtered_lrelu</v>
      </c>
      <c r="AE16" s="32">
        <f>0+SUBSTITUTE(B16,"ms","")/1000</f>
        <v>0.0010349999999999999</v>
      </c>
      <c r="AG16" s="11">
        <v>1</v>
      </c>
      <c r="AH16">
        <f>1-AF16-AG16</f>
        <v>0</v>
      </c>
      <c r="AI16" s="32">
        <f>AF16*$AE16</f>
        <v>0</v>
      </c>
      <c r="AJ16" s="32">
        <f>AG16*$AE16</f>
        <v>0.0010349999999999999</v>
      </c>
      <c r="AK16" s="32">
        <f>AH16*$AE16</f>
        <v>0</v>
      </c>
    </row>
    <row r="17" s="11" customFormat="1">
      <c r="A17" s="11" t="s">
        <v>160</v>
      </c>
      <c r="B17" s="24" t="s">
        <v>234</v>
      </c>
      <c r="C17" s="11" t="s">
        <v>235</v>
      </c>
      <c r="D17" s="11">
        <v>330</v>
      </c>
      <c r="E17" s="11" t="s">
        <v>123</v>
      </c>
      <c r="F17" s="11">
        <v>0</v>
      </c>
      <c r="G17" s="25">
        <v>0</v>
      </c>
      <c r="H17" s="25">
        <v>0</v>
      </c>
      <c r="I17" s="25">
        <v>1</v>
      </c>
      <c r="J17" s="25">
        <v>0</v>
      </c>
      <c r="K17" s="26">
        <v>0</v>
      </c>
      <c r="L17" s="25">
        <v>0</v>
      </c>
      <c r="M17" s="27">
        <v>0</v>
      </c>
      <c r="N17" s="25">
        <v>0</v>
      </c>
      <c r="O17" s="25">
        <v>0</v>
      </c>
      <c r="P17" s="25">
        <v>0</v>
      </c>
      <c r="Q17" s="25">
        <v>0</v>
      </c>
      <c r="R17" s="27">
        <v>0</v>
      </c>
      <c r="S17" s="26">
        <v>0</v>
      </c>
      <c r="T17" s="26">
        <v>0</v>
      </c>
      <c r="U17" s="26">
        <v>0</v>
      </c>
      <c r="V17" s="26">
        <v>0</v>
      </c>
      <c r="W17" s="11">
        <v>0</v>
      </c>
      <c r="X17" s="11">
        <v>0</v>
      </c>
      <c r="Y17" s="11">
        <v>0</v>
      </c>
      <c r="Z17" s="11">
        <v>0</v>
      </c>
      <c r="AA17" s="11">
        <v>0</v>
      </c>
      <c r="AB17" s="11">
        <v>0</v>
      </c>
      <c r="AC17" s="11">
        <v>0</v>
      </c>
      <c r="AD17" t="str">
        <f>LEFT(A17,18)</f>
        <v>run_filtered_lrelu</v>
      </c>
      <c r="AE17" s="32">
        <f>0+SUBSTITUTE(B17,"ms","")/1000</f>
        <v>0.00035299999999999996</v>
      </c>
      <c r="AG17" s="11">
        <v>1</v>
      </c>
      <c r="AH17">
        <f>1-AF17-AG17</f>
        <v>0</v>
      </c>
      <c r="AI17" s="32">
        <f>AF17*$AE17</f>
        <v>0</v>
      </c>
      <c r="AJ17" s="32">
        <f>AG17*$AE17</f>
        <v>0.00035299999999999996</v>
      </c>
      <c r="AK17" s="32">
        <f>AH17*$AE17</f>
        <v>0</v>
      </c>
    </row>
    <row r="18" s="11" customFormat="1">
      <c r="A18" s="11" t="s">
        <v>161</v>
      </c>
      <c r="B18" s="24" t="s">
        <v>236</v>
      </c>
      <c r="C18" s="11" t="s">
        <v>237</v>
      </c>
      <c r="D18" s="11">
        <v>330</v>
      </c>
      <c r="E18" s="11" t="s">
        <v>123</v>
      </c>
      <c r="F18" s="11">
        <v>0</v>
      </c>
      <c r="G18" s="25">
        <v>0</v>
      </c>
      <c r="H18" s="25">
        <v>0</v>
      </c>
      <c r="I18" s="25">
        <v>1</v>
      </c>
      <c r="J18" s="25">
        <v>0</v>
      </c>
      <c r="K18" s="26">
        <v>0</v>
      </c>
      <c r="L18" s="25">
        <v>0</v>
      </c>
      <c r="M18" s="27">
        <v>0</v>
      </c>
      <c r="N18" s="27">
        <v>0</v>
      </c>
      <c r="O18" s="25">
        <v>0</v>
      </c>
      <c r="P18" s="25">
        <v>0</v>
      </c>
      <c r="Q18" s="27">
        <v>0</v>
      </c>
      <c r="R18" s="27">
        <v>0</v>
      </c>
      <c r="S18" s="26">
        <v>0</v>
      </c>
      <c r="T18" s="26">
        <v>0</v>
      </c>
      <c r="U18" s="26">
        <v>0</v>
      </c>
      <c r="V18" s="26">
        <v>0</v>
      </c>
      <c r="W18" s="26">
        <v>0</v>
      </c>
      <c r="X18" s="11">
        <v>0</v>
      </c>
      <c r="Y18" s="11">
        <v>0</v>
      </c>
      <c r="Z18" s="11">
        <v>0</v>
      </c>
      <c r="AA18" s="11">
        <v>0</v>
      </c>
      <c r="AB18" s="26">
        <v>0</v>
      </c>
      <c r="AC18" s="11">
        <v>0</v>
      </c>
      <c r="AD18" t="str">
        <f>LEFT(A18,18)</f>
        <v>run_filtered_lrelu</v>
      </c>
      <c r="AE18" s="32">
        <f>0+SUBSTITUTE(B18,"ms","")/1000</f>
        <v>0.00056999999999999998</v>
      </c>
      <c r="AG18" s="11">
        <v>1</v>
      </c>
      <c r="AH18">
        <f>1-AF18-AG18</f>
        <v>0</v>
      </c>
      <c r="AI18" s="32">
        <f>AF18*$AE18</f>
        <v>0</v>
      </c>
      <c r="AJ18" s="32">
        <f>AG18*$AE18</f>
        <v>0.00056999999999999998</v>
      </c>
      <c r="AK18" s="32">
        <f>AH18*$AE18</f>
        <v>0</v>
      </c>
    </row>
    <row r="19" s="11" customFormat="1">
      <c r="A19" s="11" t="s">
        <v>164</v>
      </c>
      <c r="B19" s="24" t="s">
        <v>238</v>
      </c>
      <c r="C19" s="11" t="s">
        <v>239</v>
      </c>
      <c r="D19" s="11">
        <v>66</v>
      </c>
      <c r="E19" s="11" t="s">
        <v>123</v>
      </c>
      <c r="F19" s="11">
        <v>0</v>
      </c>
      <c r="G19" s="27">
        <v>0</v>
      </c>
      <c r="H19" s="27">
        <v>0</v>
      </c>
      <c r="I19" s="27">
        <v>1</v>
      </c>
      <c r="J19" s="27">
        <v>0</v>
      </c>
      <c r="K19" s="11">
        <v>0</v>
      </c>
      <c r="L19" s="27">
        <v>0</v>
      </c>
      <c r="M19" s="27">
        <v>0</v>
      </c>
      <c r="N19" s="27">
        <v>0</v>
      </c>
      <c r="O19" s="27">
        <v>0</v>
      </c>
      <c r="P19" s="27">
        <v>0</v>
      </c>
      <c r="Q19" s="27">
        <v>0</v>
      </c>
      <c r="R19" s="27">
        <v>0</v>
      </c>
      <c r="S19" s="11">
        <v>0</v>
      </c>
      <c r="T19" s="11">
        <v>0</v>
      </c>
      <c r="U19" s="11">
        <v>0</v>
      </c>
      <c r="V19" s="11">
        <v>0</v>
      </c>
      <c r="W19" s="11">
        <v>0</v>
      </c>
      <c r="X19" s="11">
        <v>0</v>
      </c>
      <c r="Y19" s="11">
        <v>0</v>
      </c>
      <c r="Z19" s="11">
        <v>0</v>
      </c>
      <c r="AA19" s="11">
        <v>0</v>
      </c>
      <c r="AB19" s="11">
        <v>0</v>
      </c>
      <c r="AC19" s="11">
        <v>0</v>
      </c>
      <c r="AD19" t="str">
        <f>LEFT(A19,18)</f>
        <v>run_filtered_lrelu</v>
      </c>
      <c r="AE19" s="32">
        <f>0+SUBSTITUTE(B19,"ms","")/1000</f>
        <v>6.2000000000000003e-05</v>
      </c>
      <c r="AG19" s="11">
        <v>1</v>
      </c>
      <c r="AH19">
        <f>1-AF19-AG19</f>
        <v>0</v>
      </c>
      <c r="AI19" s="32">
        <f>AF19*$AE19</f>
        <v>0</v>
      </c>
      <c r="AJ19" s="32">
        <f>AG19*$AE19</f>
        <v>6.2000000000000003e-05</v>
      </c>
      <c r="AK19" s="32">
        <f>AH19*$AE19</f>
        <v>0</v>
      </c>
    </row>
    <row r="20" s="11" customFormat="1">
      <c r="A20" s="11" t="s">
        <v>165</v>
      </c>
      <c r="B20" s="24" t="s">
        <v>240</v>
      </c>
      <c r="C20" s="11" t="s">
        <v>241</v>
      </c>
      <c r="D20" s="11">
        <v>66</v>
      </c>
      <c r="E20" s="11" t="s">
        <v>123</v>
      </c>
      <c r="F20" s="11">
        <v>0</v>
      </c>
      <c r="G20" s="27">
        <v>0.115</v>
      </c>
      <c r="H20" s="27">
        <v>0.30599999999999999</v>
      </c>
      <c r="I20" s="27">
        <v>0.57899999999999996</v>
      </c>
      <c r="J20" s="27">
        <v>0.39100000000000001</v>
      </c>
      <c r="K20" s="26">
        <v>2304</v>
      </c>
      <c r="L20" s="27">
        <v>0.011000000000000001</v>
      </c>
      <c r="M20" s="27">
        <v>0</v>
      </c>
      <c r="N20" s="27">
        <v>0.019</v>
      </c>
      <c r="O20" s="27">
        <v>0.0080000000000000002</v>
      </c>
      <c r="P20" s="27">
        <v>0.024</v>
      </c>
      <c r="Q20" s="27">
        <v>0.08900000000000001</v>
      </c>
      <c r="R20" s="27">
        <v>0</v>
      </c>
      <c r="S20" s="26">
        <v>837888</v>
      </c>
      <c r="T20" s="26">
        <v>355392</v>
      </c>
      <c r="U20" s="26">
        <v>1027862</v>
      </c>
      <c r="V20" s="26">
        <v>3825112</v>
      </c>
      <c r="W20" s="11">
        <v>0</v>
      </c>
      <c r="X20" s="11">
        <v>31.100000000000001</v>
      </c>
      <c r="Y20" s="11">
        <v>27.044</v>
      </c>
      <c r="Z20" s="11">
        <v>27.289999999999999</v>
      </c>
      <c r="AA20" s="11">
        <v>14.601000000000001</v>
      </c>
      <c r="AB20" s="26">
        <v>4608</v>
      </c>
      <c r="AC20" s="11">
        <v>0</v>
      </c>
      <c r="AD20" t="str">
        <f>LEFT(A20,18)</f>
        <v>run_filtered_lrelu</v>
      </c>
      <c r="AE20" s="32">
        <f>0+SUBSTITUTE(B20,"ms","")/1000</f>
        <v>0.000116</v>
      </c>
      <c r="AG20" s="11">
        <v>1</v>
      </c>
      <c r="AH20">
        <f>1-AF20-AG20</f>
        <v>0</v>
      </c>
      <c r="AI20" s="32">
        <f>AF20*$AE20</f>
        <v>0</v>
      </c>
      <c r="AJ20" s="32">
        <f>AG20*$AE20</f>
        <v>0.000116</v>
      </c>
      <c r="AK20" s="32">
        <f>AH20*$AE20</f>
        <v>0</v>
      </c>
    </row>
    <row r="21" ht="14.25">
      <c r="A21" t="s">
        <v>167</v>
      </c>
      <c r="B21" s="16" t="s">
        <v>240</v>
      </c>
      <c r="C21" t="s">
        <v>242</v>
      </c>
      <c r="D21">
        <v>64</v>
      </c>
      <c r="E21" t="s">
        <v>123</v>
      </c>
      <c r="F21">
        <v>0</v>
      </c>
      <c r="G21" s="19">
        <v>0</v>
      </c>
      <c r="H21" s="19">
        <v>0</v>
      </c>
      <c r="I21" s="19">
        <v>1</v>
      </c>
      <c r="J21" s="19">
        <v>0</v>
      </c>
      <c r="K21" s="20">
        <v>0</v>
      </c>
      <c r="L21" s="19">
        <v>0</v>
      </c>
      <c r="M21" s="21">
        <v>0</v>
      </c>
      <c r="N21" s="19">
        <v>0</v>
      </c>
      <c r="O21" s="19">
        <v>0</v>
      </c>
      <c r="P21" s="19">
        <v>0</v>
      </c>
      <c r="Q21" s="19">
        <v>0</v>
      </c>
      <c r="R21" s="21">
        <v>0</v>
      </c>
      <c r="S21" s="20">
        <v>0</v>
      </c>
      <c r="T21" s="20">
        <v>0</v>
      </c>
      <c r="U21" s="20">
        <v>0</v>
      </c>
      <c r="V21" s="20">
        <v>0</v>
      </c>
      <c r="W21" s="20">
        <v>0</v>
      </c>
      <c r="X21">
        <v>0</v>
      </c>
      <c r="Y21">
        <v>0</v>
      </c>
      <c r="Z21">
        <v>0</v>
      </c>
      <c r="AA21">
        <v>0</v>
      </c>
      <c r="AB21" s="20">
        <v>0</v>
      </c>
      <c r="AC21">
        <v>0</v>
      </c>
      <c r="AD21" t="str">
        <f>LEFT(A21,18)</f>
        <v>UnrolledElementwis</v>
      </c>
      <c r="AE21" s="32">
        <f>0+SUBSTITUTE(B21,"ms","")/1000</f>
        <v>0.000116</v>
      </c>
      <c r="AH21">
        <f>1-AF21-AG21</f>
        <v>1</v>
      </c>
      <c r="AI21" s="32">
        <f>AF21*$AE21</f>
        <v>0</v>
      </c>
      <c r="AJ21" s="32">
        <f>AG21*$AE21</f>
        <v>0</v>
      </c>
      <c r="AK21" s="32">
        <f>AH21*$AE21</f>
        <v>0.000116</v>
      </c>
    </row>
    <row r="22" ht="14.25">
      <c r="A22" t="s">
        <v>243</v>
      </c>
      <c r="B22" s="16" t="s">
        <v>244</v>
      </c>
      <c r="C22" t="s">
        <v>245</v>
      </c>
      <c r="D22" s="20">
        <v>1454</v>
      </c>
      <c r="E22" t="s">
        <v>123</v>
      </c>
      <c r="F22">
        <v>0</v>
      </c>
      <c r="G22" s="19">
        <v>0.014999999999999999</v>
      </c>
      <c r="H22" s="19">
        <v>0.17000000000000001</v>
      </c>
      <c r="I22" s="19">
        <v>0.81499999999999995</v>
      </c>
      <c r="J22" s="19">
        <v>0.14999999999999999</v>
      </c>
      <c r="K22" s="20">
        <v>6521</v>
      </c>
      <c r="L22" s="19">
        <v>0.001</v>
      </c>
      <c r="M22" s="21">
        <v>0</v>
      </c>
      <c r="N22" s="19">
        <v>0.0030000000000000001</v>
      </c>
      <c r="O22" s="19">
        <v>0</v>
      </c>
      <c r="P22" s="19">
        <v>0.001</v>
      </c>
      <c r="Q22" s="19">
        <v>0.012</v>
      </c>
      <c r="R22" s="21">
        <v>0</v>
      </c>
      <c r="S22" s="20">
        <v>357348</v>
      </c>
      <c r="T22" s="20">
        <v>50664</v>
      </c>
      <c r="U22" s="20">
        <v>169108</v>
      </c>
      <c r="V22" s="20">
        <v>1562964</v>
      </c>
      <c r="W22" s="20">
        <v>0</v>
      </c>
      <c r="X22">
        <v>1.397</v>
      </c>
      <c r="Y22">
        <v>2.8799999999999999</v>
      </c>
      <c r="Z22">
        <v>1.893</v>
      </c>
      <c r="AA22">
        <v>0.058999999999999997</v>
      </c>
      <c r="AB22" s="20">
        <v>384</v>
      </c>
      <c r="AC22">
        <v>0</v>
      </c>
      <c r="AD22" t="str">
        <f>LEFT(A22,18)</f>
        <v>VectorizedElementw</v>
      </c>
      <c r="AE22" s="32">
        <f>0+SUBSTITUTE(B22,"ms","")/1000</f>
        <v>0.0027190000000000001</v>
      </c>
      <c r="AH22">
        <f>1-AF22-AG22</f>
        <v>1</v>
      </c>
      <c r="AI22" s="32">
        <f>AF22*$AE22</f>
        <v>0</v>
      </c>
      <c r="AJ22" s="32">
        <f>AG22*$AE22</f>
        <v>0</v>
      </c>
      <c r="AK22" s="32">
        <f>AH22*$AE22</f>
        <v>0.0027190000000000001</v>
      </c>
    </row>
    <row r="23" ht="14.25">
      <c r="A23" t="s">
        <v>246</v>
      </c>
      <c r="B23" s="16" t="s">
        <v>247</v>
      </c>
      <c r="C23" t="s">
        <v>248</v>
      </c>
      <c r="D23">
        <v>66</v>
      </c>
      <c r="E23" t="s">
        <v>123</v>
      </c>
      <c r="F23">
        <v>0</v>
      </c>
      <c r="G23" s="21">
        <v>0</v>
      </c>
      <c r="H23" s="21">
        <v>0</v>
      </c>
      <c r="I23" s="21">
        <v>1</v>
      </c>
      <c r="J23" s="21">
        <v>0</v>
      </c>
      <c r="K23">
        <v>0</v>
      </c>
      <c r="L23" s="21">
        <v>0</v>
      </c>
      <c r="M23" s="21">
        <v>0</v>
      </c>
      <c r="N23" s="21">
        <v>0</v>
      </c>
      <c r="O23" s="21">
        <v>0</v>
      </c>
      <c r="P23" s="21">
        <v>0</v>
      </c>
      <c r="Q23" s="21">
        <v>0</v>
      </c>
      <c r="R23" s="21">
        <v>0</v>
      </c>
      <c r="S23">
        <v>0</v>
      </c>
      <c r="T23">
        <v>0</v>
      </c>
      <c r="U23">
        <v>0</v>
      </c>
      <c r="V23">
        <v>0</v>
      </c>
      <c r="W23">
        <v>0</v>
      </c>
      <c r="X23">
        <v>0</v>
      </c>
      <c r="Y23">
        <v>0</v>
      </c>
      <c r="Z23">
        <v>0</v>
      </c>
      <c r="AA23">
        <v>0</v>
      </c>
      <c r="AB23">
        <v>0</v>
      </c>
      <c r="AC23">
        <v>0</v>
      </c>
      <c r="AD23" t="str">
        <f>LEFT(A23,18)</f>
        <v>VectorizedElementw</v>
      </c>
      <c r="AE23" s="32">
        <f>0+SUBSTITUTE(B23,"ms","")/1000</f>
        <v>6.7999999999999999e-05</v>
      </c>
      <c r="AH23">
        <f>1-AF23-AG23</f>
        <v>1</v>
      </c>
      <c r="AI23" s="32">
        <f>AF23*$AE23</f>
        <v>0</v>
      </c>
      <c r="AJ23" s="32">
        <f>AG23*$AE23</f>
        <v>0</v>
      </c>
      <c r="AK23" s="32">
        <f>AH23*$AE23</f>
        <v>6.7999999999999999e-05</v>
      </c>
    </row>
    <row r="24" ht="14.25">
      <c r="A24" t="s">
        <v>249</v>
      </c>
      <c r="B24" s="16" t="s">
        <v>250</v>
      </c>
      <c r="C24" t="s">
        <v>251</v>
      </c>
      <c r="D24">
        <v>66</v>
      </c>
      <c r="E24" t="s">
        <v>123</v>
      </c>
      <c r="F24">
        <v>0</v>
      </c>
      <c r="G24" s="19">
        <v>0.083000000000000004</v>
      </c>
      <c r="H24" s="19">
        <v>0.495</v>
      </c>
      <c r="I24" s="19">
        <v>0.42200000000000004</v>
      </c>
      <c r="J24" s="19">
        <v>0.47100000000000003</v>
      </c>
      <c r="K24" s="20">
        <v>10369</v>
      </c>
      <c r="L24" s="21">
        <v>0.0060000000000000001</v>
      </c>
      <c r="M24" s="21">
        <v>0</v>
      </c>
      <c r="N24" s="19">
        <v>0.011000000000000001</v>
      </c>
      <c r="O24" s="19">
        <v>0.0030000000000000001</v>
      </c>
      <c r="P24" s="19">
        <v>0.022000000000000002</v>
      </c>
      <c r="Q24" s="19">
        <v>0.055999999999999994</v>
      </c>
      <c r="R24" s="21">
        <v>0</v>
      </c>
      <c r="S24" s="20">
        <v>819074</v>
      </c>
      <c r="T24" s="20">
        <v>238464</v>
      </c>
      <c r="U24" s="20">
        <v>1682226</v>
      </c>
      <c r="V24" s="20">
        <v>4209418</v>
      </c>
      <c r="W24">
        <v>0</v>
      </c>
      <c r="X24">
        <v>73.004000000000005</v>
      </c>
      <c r="Y24">
        <v>269.62099999999998</v>
      </c>
      <c r="Z24">
        <v>115.264</v>
      </c>
      <c r="AA24">
        <v>47.027999999999999</v>
      </c>
      <c r="AB24">
        <v>0</v>
      </c>
      <c r="AC24">
        <v>0</v>
      </c>
      <c r="AD24" t="str">
        <f>LEFT(A24,18)</f>
        <v>VectorizedElementw</v>
      </c>
      <c r="AE24" s="32">
        <f>0+SUBSTITUTE(B24,"ms","")/1000</f>
        <v>7.8999999999999996e-05</v>
      </c>
      <c r="AH24">
        <f>1-AF24-AG24</f>
        <v>1</v>
      </c>
      <c r="AI24" s="32">
        <f>AF24*$AE24</f>
        <v>0</v>
      </c>
      <c r="AJ24" s="32">
        <f>AG24*$AE24</f>
        <v>0</v>
      </c>
      <c r="AK24" s="32">
        <f>AH24*$AE24</f>
        <v>7.8999999999999996e-05</v>
      </c>
    </row>
    <row r="25" ht="14.25">
      <c r="A25" t="s">
        <v>252</v>
      </c>
      <c r="B25" s="16" t="s">
        <v>238</v>
      </c>
      <c r="C25" t="s">
        <v>253</v>
      </c>
      <c r="D25">
        <v>66</v>
      </c>
      <c r="E25" t="s">
        <v>123</v>
      </c>
      <c r="F25">
        <v>0</v>
      </c>
      <c r="G25" s="21">
        <v>0</v>
      </c>
      <c r="H25" s="19">
        <v>0</v>
      </c>
      <c r="I25" s="19">
        <v>1</v>
      </c>
      <c r="J25" s="19">
        <v>0</v>
      </c>
      <c r="K25" s="20">
        <v>0</v>
      </c>
      <c r="L25" s="21">
        <v>0</v>
      </c>
      <c r="M25" s="21">
        <v>0</v>
      </c>
      <c r="N25" s="19">
        <v>0</v>
      </c>
      <c r="O25" s="19">
        <v>0</v>
      </c>
      <c r="P25" s="19">
        <v>0</v>
      </c>
      <c r="Q25" s="19">
        <v>0</v>
      </c>
      <c r="R25" s="21">
        <v>0</v>
      </c>
      <c r="S25" s="20">
        <v>0</v>
      </c>
      <c r="T25" s="20">
        <v>0</v>
      </c>
      <c r="U25" s="20">
        <v>0</v>
      </c>
      <c r="V25" s="20">
        <v>0</v>
      </c>
      <c r="W25">
        <v>0</v>
      </c>
      <c r="X25">
        <v>0</v>
      </c>
      <c r="Y25">
        <v>0</v>
      </c>
      <c r="Z25">
        <v>0</v>
      </c>
      <c r="AA25">
        <v>0</v>
      </c>
      <c r="AB25">
        <v>0</v>
      </c>
      <c r="AC25">
        <v>0</v>
      </c>
      <c r="AD25" t="str">
        <f>LEFT(A25,18)</f>
        <v>VectorizedElementw</v>
      </c>
      <c r="AE25" s="32">
        <f>0+SUBSTITUTE(B25,"ms","")/1000</f>
        <v>6.2000000000000003e-05</v>
      </c>
      <c r="AH25">
        <f>1-AF25-AG25</f>
        <v>1</v>
      </c>
      <c r="AI25" s="32">
        <f>AF25*$AE25</f>
        <v>0</v>
      </c>
      <c r="AJ25" s="32">
        <f>AG25*$AE25</f>
        <v>0</v>
      </c>
      <c r="AK25" s="32">
        <f>AH25*$AE25</f>
        <v>6.2000000000000003e-05</v>
      </c>
    </row>
    <row r="26" ht="14.25">
      <c r="A26" t="s">
        <v>254</v>
      </c>
      <c r="B26" s="16" t="s">
        <v>255</v>
      </c>
      <c r="C26" t="s">
        <v>256</v>
      </c>
      <c r="D26">
        <v>66</v>
      </c>
      <c r="E26" t="s">
        <v>123</v>
      </c>
      <c r="F26">
        <v>0</v>
      </c>
      <c r="G26" s="21">
        <v>0</v>
      </c>
      <c r="H26" s="19">
        <v>0</v>
      </c>
      <c r="I26" s="19">
        <v>1</v>
      </c>
      <c r="J26" s="21">
        <v>0</v>
      </c>
      <c r="K26">
        <v>0</v>
      </c>
      <c r="L26" s="21">
        <v>0</v>
      </c>
      <c r="M26" s="21">
        <v>0</v>
      </c>
      <c r="N26" s="21">
        <v>0</v>
      </c>
      <c r="O26" s="21">
        <v>0</v>
      </c>
      <c r="P26" s="21">
        <v>0</v>
      </c>
      <c r="Q26" s="21">
        <v>0</v>
      </c>
      <c r="R26" s="21">
        <v>0</v>
      </c>
      <c r="S26">
        <v>0</v>
      </c>
      <c r="T26">
        <v>0</v>
      </c>
      <c r="U26">
        <v>0</v>
      </c>
      <c r="V26" s="20">
        <v>0</v>
      </c>
      <c r="W26">
        <v>0</v>
      </c>
      <c r="X26">
        <v>0</v>
      </c>
      <c r="Y26">
        <v>0</v>
      </c>
      <c r="Z26">
        <v>0</v>
      </c>
      <c r="AA26">
        <v>0</v>
      </c>
      <c r="AB26">
        <v>0</v>
      </c>
      <c r="AC26">
        <v>0</v>
      </c>
      <c r="AD26" t="str">
        <f>LEFT(A26,18)</f>
        <v>VectorizedElementw</v>
      </c>
      <c r="AE26" s="32">
        <f>0+SUBSTITUTE(B26,"ms","")/1000</f>
        <v>8.0000000000000007e-05</v>
      </c>
      <c r="AH26">
        <f>1-AF26-AG26</f>
        <v>1</v>
      </c>
      <c r="AI26" s="32">
        <f>AF26*$AE26</f>
        <v>0</v>
      </c>
      <c r="AJ26" s="32">
        <f>AG26*$AE26</f>
        <v>0</v>
      </c>
      <c r="AK26" s="32">
        <f>AH26*$AE26</f>
        <v>8.0000000000000007e-05</v>
      </c>
    </row>
    <row r="27" ht="14.25">
      <c r="A27" t="s">
        <v>257</v>
      </c>
      <c r="B27" s="16" t="s">
        <v>258</v>
      </c>
      <c r="C27" t="s">
        <v>259</v>
      </c>
      <c r="D27">
        <v>264</v>
      </c>
      <c r="E27" t="s">
        <v>123</v>
      </c>
      <c r="F27">
        <v>0</v>
      </c>
      <c r="G27" s="21">
        <v>0</v>
      </c>
      <c r="H27" s="19">
        <v>0</v>
      </c>
      <c r="I27" s="19">
        <v>1</v>
      </c>
      <c r="J27" s="21">
        <v>0</v>
      </c>
      <c r="K27">
        <v>0</v>
      </c>
      <c r="L27" s="21">
        <v>0</v>
      </c>
      <c r="M27" s="21">
        <v>0</v>
      </c>
      <c r="N27" s="21">
        <v>0</v>
      </c>
      <c r="O27" s="21">
        <v>0</v>
      </c>
      <c r="P27" s="21">
        <v>0</v>
      </c>
      <c r="Q27" s="21">
        <v>0</v>
      </c>
      <c r="R27" s="21">
        <v>0</v>
      </c>
      <c r="S27" s="20">
        <v>0</v>
      </c>
      <c r="T27" s="20">
        <v>0</v>
      </c>
      <c r="U27" s="20">
        <v>0</v>
      </c>
      <c r="V27" s="20">
        <v>0</v>
      </c>
      <c r="W27">
        <v>0</v>
      </c>
      <c r="X27">
        <v>0</v>
      </c>
      <c r="Y27">
        <v>0</v>
      </c>
      <c r="Z27">
        <v>0</v>
      </c>
      <c r="AA27">
        <v>0</v>
      </c>
      <c r="AB27">
        <v>0</v>
      </c>
      <c r="AC27">
        <v>0</v>
      </c>
      <c r="AD27" t="str">
        <f>LEFT(A27,18)</f>
        <v>VectorizedElementw</v>
      </c>
      <c r="AE27" s="32">
        <f>0+SUBSTITUTE(B27,"ms","")/1000</f>
        <v>0.00038700000000000003</v>
      </c>
      <c r="AH27">
        <f>1-AF27-AG27</f>
        <v>1</v>
      </c>
      <c r="AI27" s="32">
        <f>AF27*$AE27</f>
        <v>0</v>
      </c>
      <c r="AJ27" s="32">
        <f>AG27*$AE27</f>
        <v>0</v>
      </c>
      <c r="AK27" s="32">
        <f>AH27*$AE27</f>
        <v>0.00038700000000000003</v>
      </c>
    </row>
    <row r="28" ht="14.25">
      <c r="A28" t="s">
        <v>260</v>
      </c>
      <c r="B28" s="16" t="s">
        <v>261</v>
      </c>
      <c r="C28" t="s">
        <v>262</v>
      </c>
      <c r="D28" s="20">
        <v>1055</v>
      </c>
      <c r="E28" t="s">
        <v>123</v>
      </c>
      <c r="F28">
        <v>0</v>
      </c>
      <c r="G28" s="19">
        <v>0.027000000000000003</v>
      </c>
      <c r="H28" s="19">
        <v>0.17300000000000001</v>
      </c>
      <c r="I28" s="19">
        <v>0.80000000000000004</v>
      </c>
      <c r="J28" s="19">
        <v>0.19899999999999998</v>
      </c>
      <c r="K28" s="20">
        <v>513</v>
      </c>
      <c r="L28" s="21">
        <v>0</v>
      </c>
      <c r="M28" s="21">
        <v>0</v>
      </c>
      <c r="N28" s="19">
        <v>0.0030000000000000001</v>
      </c>
      <c r="O28" s="19">
        <v>0.002</v>
      </c>
      <c r="P28" s="19">
        <v>0.0040000000000000001</v>
      </c>
      <c r="Q28" s="19">
        <v>0.02</v>
      </c>
      <c r="R28" s="21">
        <v>0</v>
      </c>
      <c r="S28" s="20">
        <v>322562</v>
      </c>
      <c r="T28" s="20">
        <v>143360</v>
      </c>
      <c r="U28" s="20">
        <v>355494</v>
      </c>
      <c r="V28" s="20">
        <v>1932170</v>
      </c>
      <c r="W28">
        <v>0</v>
      </c>
      <c r="X28">
        <v>6.5410000000000004</v>
      </c>
      <c r="Y28">
        <v>0.024</v>
      </c>
      <c r="Z28">
        <v>6.4660000000000002</v>
      </c>
      <c r="AA28">
        <v>0.0050000000000000001</v>
      </c>
      <c r="AB28" s="20">
        <v>1024</v>
      </c>
      <c r="AC28">
        <v>0</v>
      </c>
      <c r="AD28" t="str">
        <f>LEFT(A28,18)</f>
        <v>VectorizedElementw</v>
      </c>
      <c r="AE28" s="32">
        <f>0+SUBSTITUTE(B28,"ms","")/1000</f>
        <v>0.0014650000000000002</v>
      </c>
      <c r="AH28">
        <f>1-AF28-AG28</f>
        <v>1</v>
      </c>
      <c r="AI28" s="32">
        <f>AF28*$AE28</f>
        <v>0</v>
      </c>
      <c r="AJ28" s="32">
        <f>AG28*$AE28</f>
        <v>0</v>
      </c>
      <c r="AK28" s="32">
        <f>AH28*$AE28</f>
        <v>0.0014650000000000002</v>
      </c>
    </row>
    <row r="29" ht="14.25">
      <c r="A29" t="s">
        <v>263</v>
      </c>
      <c r="B29" s="16" t="s">
        <v>264</v>
      </c>
      <c r="C29" t="s">
        <v>265</v>
      </c>
      <c r="D29">
        <v>130</v>
      </c>
      <c r="E29" t="s">
        <v>123</v>
      </c>
      <c r="F29">
        <v>0</v>
      </c>
      <c r="G29" s="19">
        <v>0</v>
      </c>
      <c r="H29" s="19">
        <v>0</v>
      </c>
      <c r="I29" s="19">
        <v>1</v>
      </c>
      <c r="J29" s="19">
        <v>0</v>
      </c>
      <c r="K29" s="20">
        <v>0</v>
      </c>
      <c r="L29" s="19">
        <v>0</v>
      </c>
      <c r="M29" s="21">
        <v>0</v>
      </c>
      <c r="N29" s="19">
        <v>0</v>
      </c>
      <c r="O29" s="19">
        <v>0</v>
      </c>
      <c r="P29" s="19">
        <v>0</v>
      </c>
      <c r="Q29" s="19">
        <v>0</v>
      </c>
      <c r="R29" s="21">
        <v>0</v>
      </c>
      <c r="S29" s="20">
        <v>0</v>
      </c>
      <c r="T29" s="20">
        <v>0</v>
      </c>
      <c r="U29" s="20">
        <v>0</v>
      </c>
      <c r="V29" s="20">
        <v>0</v>
      </c>
      <c r="W29" s="20">
        <v>0</v>
      </c>
      <c r="X29">
        <v>0</v>
      </c>
      <c r="Y29">
        <v>0</v>
      </c>
      <c r="Z29">
        <v>0</v>
      </c>
      <c r="AA29">
        <v>0</v>
      </c>
      <c r="AB29" s="20">
        <v>0</v>
      </c>
      <c r="AC29">
        <v>0</v>
      </c>
      <c r="AD29" t="str">
        <f>LEFT(A29,18)</f>
        <v>VectorizedElementw</v>
      </c>
      <c r="AE29" s="32">
        <f>0+SUBSTITUTE(B29,"ms","")/1000</f>
        <v>0.00016000000000000001</v>
      </c>
      <c r="AH29">
        <f>1-AF29-AG29</f>
        <v>1</v>
      </c>
      <c r="AI29" s="32">
        <f>AF29*$AE29</f>
        <v>0</v>
      </c>
      <c r="AJ29" s="32">
        <f>AG29*$AE29</f>
        <v>0</v>
      </c>
      <c r="AK29" s="32">
        <f>AH29*$AE29</f>
        <v>0.00016000000000000001</v>
      </c>
    </row>
    <row r="30" ht="14.25">
      <c r="A30" t="s">
        <v>266</v>
      </c>
      <c r="B30" s="16" t="s">
        <v>267</v>
      </c>
      <c r="C30" t="s">
        <v>268</v>
      </c>
      <c r="D30">
        <v>462</v>
      </c>
      <c r="E30" t="s">
        <v>123</v>
      </c>
      <c r="F30">
        <v>0</v>
      </c>
      <c r="G30" s="19">
        <v>0</v>
      </c>
      <c r="H30" s="19">
        <v>0</v>
      </c>
      <c r="I30" s="19">
        <v>1</v>
      </c>
      <c r="J30" s="19">
        <v>0</v>
      </c>
      <c r="K30" s="20">
        <v>0</v>
      </c>
      <c r="L30" s="19">
        <v>0</v>
      </c>
      <c r="M30" s="21">
        <v>0</v>
      </c>
      <c r="N30" s="19">
        <v>0</v>
      </c>
      <c r="O30" s="21">
        <v>0</v>
      </c>
      <c r="P30" s="19">
        <v>0</v>
      </c>
      <c r="Q30" s="19">
        <v>0</v>
      </c>
      <c r="R30" s="21">
        <v>0</v>
      </c>
      <c r="S30" s="20">
        <v>0</v>
      </c>
      <c r="T30" s="20">
        <v>0</v>
      </c>
      <c r="U30" s="20">
        <v>0</v>
      </c>
      <c r="V30" s="20">
        <v>0</v>
      </c>
      <c r="W30">
        <v>0</v>
      </c>
      <c r="X30">
        <v>0</v>
      </c>
      <c r="Y30">
        <v>0</v>
      </c>
      <c r="Z30">
        <v>0</v>
      </c>
      <c r="AA30">
        <v>0</v>
      </c>
      <c r="AB30">
        <v>0</v>
      </c>
      <c r="AC30">
        <v>0</v>
      </c>
      <c r="AD30" t="str">
        <f>LEFT(A30,18)</f>
        <v>VectorizedElementw</v>
      </c>
      <c r="AE30" s="32">
        <f>0+SUBSTITUTE(B30,"ms","")/1000</f>
        <v>0.00053200000000000003</v>
      </c>
      <c r="AH30">
        <f>1-AF30-AG30</f>
        <v>1</v>
      </c>
      <c r="AI30" s="32">
        <f>AF30*$AE30</f>
        <v>0</v>
      </c>
      <c r="AJ30" s="32">
        <f>AG30*$AE30</f>
        <v>0</v>
      </c>
      <c r="AK30" s="32">
        <f>AH30*$AE30</f>
        <v>0.00053200000000000003</v>
      </c>
    </row>
    <row r="31" ht="14.25">
      <c r="A31" t="s">
        <v>184</v>
      </c>
      <c r="B31" s="16" t="s">
        <v>226</v>
      </c>
      <c r="C31" t="s">
        <v>269</v>
      </c>
      <c r="D31">
        <v>132</v>
      </c>
      <c r="E31" t="s">
        <v>123</v>
      </c>
      <c r="F31">
        <v>0</v>
      </c>
      <c r="G31" s="21">
        <v>0</v>
      </c>
      <c r="H31" s="19">
        <v>0.002</v>
      </c>
      <c r="I31" s="19">
        <v>0.998</v>
      </c>
      <c r="J31" s="21">
        <v>0</v>
      </c>
      <c r="K31">
        <v>5</v>
      </c>
      <c r="L31" s="21">
        <v>0</v>
      </c>
      <c r="M31" s="21">
        <v>0</v>
      </c>
      <c r="N31" s="21">
        <v>0</v>
      </c>
      <c r="O31" s="21">
        <v>0</v>
      </c>
      <c r="P31" s="21">
        <v>0</v>
      </c>
      <c r="Q31" s="21">
        <v>0</v>
      </c>
      <c r="R31" s="21">
        <v>0</v>
      </c>
      <c r="S31" s="20">
        <v>38</v>
      </c>
      <c r="T31" s="20">
        <v>64</v>
      </c>
      <c r="U31" s="20">
        <v>46</v>
      </c>
      <c r="V31" s="20">
        <v>268</v>
      </c>
      <c r="W31">
        <v>0</v>
      </c>
      <c r="X31">
        <v>0.088999999999999996</v>
      </c>
      <c r="Y31">
        <v>0.014</v>
      </c>
      <c r="Z31">
        <v>0.126</v>
      </c>
      <c r="AA31">
        <v>0.01</v>
      </c>
      <c r="AB31">
        <v>0</v>
      </c>
      <c r="AC31">
        <v>0</v>
      </c>
      <c r="AD31" t="str">
        <f>LEFT(A31,18)</f>
        <v>VectorizedElementw</v>
      </c>
      <c r="AE31" s="32">
        <f>0+SUBSTITUTE(B31,"ms","")/1000</f>
        <v>0.000147</v>
      </c>
      <c r="AH31">
        <f>1-AF31-AG31</f>
        <v>1</v>
      </c>
      <c r="AI31" s="32">
        <f>AF31*$AE31</f>
        <v>0</v>
      </c>
      <c r="AJ31" s="32">
        <f>AG31*$AE31</f>
        <v>0</v>
      </c>
      <c r="AK31" s="32">
        <f>AH31*$AE31</f>
        <v>0.000147</v>
      </c>
    </row>
    <row r="32" ht="14.25">
      <c r="A32" t="s">
        <v>185</v>
      </c>
      <c r="B32" s="16" t="s">
        <v>270</v>
      </c>
      <c r="C32" t="s">
        <v>271</v>
      </c>
      <c r="D32">
        <v>66</v>
      </c>
      <c r="E32" t="s">
        <v>123</v>
      </c>
      <c r="F32">
        <v>0</v>
      </c>
      <c r="G32" s="21">
        <v>0</v>
      </c>
      <c r="H32" s="19">
        <v>0</v>
      </c>
      <c r="I32" s="19">
        <v>1</v>
      </c>
      <c r="J32" s="21">
        <v>0</v>
      </c>
      <c r="K32">
        <v>0</v>
      </c>
      <c r="L32" s="21">
        <v>0</v>
      </c>
      <c r="M32" s="21">
        <v>0</v>
      </c>
      <c r="N32" s="21">
        <v>0</v>
      </c>
      <c r="O32" s="21">
        <v>0</v>
      </c>
      <c r="P32" s="21">
        <v>0</v>
      </c>
      <c r="Q32" s="21">
        <v>0</v>
      </c>
      <c r="R32" s="21">
        <v>0</v>
      </c>
      <c r="S32" s="20">
        <v>0</v>
      </c>
      <c r="T32">
        <v>0</v>
      </c>
      <c r="U32" s="20">
        <v>0</v>
      </c>
      <c r="V32" s="20">
        <v>0</v>
      </c>
      <c r="W32">
        <v>0</v>
      </c>
      <c r="X32">
        <v>0</v>
      </c>
      <c r="Y32">
        <v>0</v>
      </c>
      <c r="Z32">
        <v>0</v>
      </c>
      <c r="AA32">
        <v>0</v>
      </c>
      <c r="AB32">
        <v>0</v>
      </c>
      <c r="AC32">
        <v>0</v>
      </c>
      <c r="AD32" t="str">
        <f>LEFT(A32,18)</f>
        <v>VectorizedElementw</v>
      </c>
      <c r="AE32" s="32">
        <f>0+SUBSTITUTE(B32,"ms","")/1000</f>
        <v>6.6000000000000005e-05</v>
      </c>
      <c r="AH32">
        <f>1-AF32-AG32</f>
        <v>1</v>
      </c>
      <c r="AI32" s="32">
        <f>AF32*$AE32</f>
        <v>0</v>
      </c>
      <c r="AJ32" s="32">
        <f>AG32*$AE32</f>
        <v>0</v>
      </c>
      <c r="AK32" s="32">
        <f>AH32*$AE32</f>
        <v>6.6000000000000005e-05</v>
      </c>
    </row>
    <row r="33" ht="14.25">
      <c r="A33" t="s">
        <v>272</v>
      </c>
      <c r="B33" s="16" t="s">
        <v>273</v>
      </c>
      <c r="C33" t="s">
        <v>223</v>
      </c>
      <c r="D33" s="20">
        <v>2773</v>
      </c>
      <c r="E33" t="s">
        <v>123</v>
      </c>
      <c r="F33">
        <v>0</v>
      </c>
      <c r="G33" s="19">
        <v>0.10400000000000001</v>
      </c>
      <c r="H33" s="19">
        <v>0.318</v>
      </c>
      <c r="I33" s="19">
        <v>0.57799999999999996</v>
      </c>
      <c r="J33" s="19">
        <v>0.36499999999999999</v>
      </c>
      <c r="K33" s="20">
        <v>24323</v>
      </c>
      <c r="L33" s="21">
        <v>0.002</v>
      </c>
      <c r="M33" s="21">
        <v>0</v>
      </c>
      <c r="N33" s="19">
        <v>0.012</v>
      </c>
      <c r="O33" s="21">
        <v>0.0050000000000000001</v>
      </c>
      <c r="P33" s="19">
        <v>0.0050000000000000001</v>
      </c>
      <c r="Q33" s="19">
        <v>0.091999999999999998</v>
      </c>
      <c r="R33" s="21">
        <v>0</v>
      </c>
      <c r="S33" s="20">
        <v>3426746</v>
      </c>
      <c r="T33" s="20">
        <v>1521006</v>
      </c>
      <c r="U33" s="20">
        <v>1501358</v>
      </c>
      <c r="V33" s="20">
        <v>25628354</v>
      </c>
      <c r="W33">
        <v>0</v>
      </c>
      <c r="X33">
        <v>5.2999999999999998</v>
      </c>
      <c r="Y33">
        <v>12.744999999999999</v>
      </c>
      <c r="Z33">
        <v>6.8529999999999998</v>
      </c>
      <c r="AA33">
        <v>4.7030000000000003</v>
      </c>
      <c r="AB33" s="20">
        <v>168</v>
      </c>
      <c r="AC33">
        <v>0</v>
      </c>
      <c r="AD33" t="str">
        <f>LEFT(A33,18)</f>
        <v>VectorizedElementw</v>
      </c>
      <c r="AE33" s="32">
        <f>0+SUBSTITUTE(B33,"ms","")/1000</f>
        <v>0.0037209999999999999</v>
      </c>
      <c r="AH33">
        <f>1-AF33-AG33</f>
        <v>1</v>
      </c>
      <c r="AI33" s="32">
        <f>AF33*$AE33</f>
        <v>0</v>
      </c>
      <c r="AJ33" s="32">
        <f>AG33*$AE33</f>
        <v>0</v>
      </c>
      <c r="AK33" s="32">
        <f>AH33*$AE33</f>
        <v>0.0037209999999999999</v>
      </c>
    </row>
    <row r="34" ht="14.25">
      <c r="A34" t="s">
        <v>274</v>
      </c>
      <c r="B34" s="16" t="s">
        <v>275</v>
      </c>
      <c r="C34" t="s">
        <v>276</v>
      </c>
      <c r="D34" s="20">
        <v>3763</v>
      </c>
      <c r="E34" t="s">
        <v>123</v>
      </c>
      <c r="F34">
        <v>0</v>
      </c>
      <c r="G34" s="19">
        <v>0.031</v>
      </c>
      <c r="H34" s="19">
        <v>0.29399999999999998</v>
      </c>
      <c r="I34" s="19">
        <v>0.67599999999999993</v>
      </c>
      <c r="J34" s="19">
        <v>0.252</v>
      </c>
      <c r="K34" s="20">
        <v>28904</v>
      </c>
      <c r="L34" s="19">
        <v>0.001</v>
      </c>
      <c r="M34" s="21">
        <v>0</v>
      </c>
      <c r="N34" s="19">
        <v>0.0050000000000000001</v>
      </c>
      <c r="O34" s="19">
        <v>0.001</v>
      </c>
      <c r="P34" s="19">
        <v>0.0030000000000000001</v>
      </c>
      <c r="Q34" s="19">
        <v>0.023</v>
      </c>
      <c r="R34" s="21">
        <v>0</v>
      </c>
      <c r="S34" s="20">
        <v>2905252</v>
      </c>
      <c r="T34" s="20">
        <v>708790</v>
      </c>
      <c r="U34" s="20">
        <v>1870054</v>
      </c>
      <c r="V34" s="20">
        <v>12843252</v>
      </c>
      <c r="W34" s="20">
        <v>0</v>
      </c>
      <c r="X34">
        <v>9.2769999999999992</v>
      </c>
      <c r="Y34">
        <v>10.77</v>
      </c>
      <c r="Z34">
        <v>10.865</v>
      </c>
      <c r="AA34">
        <v>2.6949999999999998</v>
      </c>
      <c r="AB34" s="20">
        <v>5792</v>
      </c>
      <c r="AC34">
        <v>0</v>
      </c>
      <c r="AD34" t="str">
        <f>LEFT(A34,18)</f>
        <v>VectorizedElementw</v>
      </c>
      <c r="AE34" s="32">
        <f>0+SUBSTITUTE(B34,"ms","")/1000</f>
        <v>0.0050810000000000004</v>
      </c>
      <c r="AH34">
        <f>1-AF34-AG34</f>
        <v>1</v>
      </c>
      <c r="AI34" s="32">
        <f>AF34*$AE34</f>
        <v>0</v>
      </c>
      <c r="AJ34" s="32">
        <f>AG34*$AE34</f>
        <v>0</v>
      </c>
      <c r="AK34" s="32">
        <f>AH34*$AE34</f>
        <v>0.0050810000000000004</v>
      </c>
    </row>
    <row r="35" ht="14.25">
      <c r="A35" t="s">
        <v>277</v>
      </c>
      <c r="B35" s="16" t="s">
        <v>278</v>
      </c>
      <c r="C35" t="s">
        <v>279</v>
      </c>
      <c r="D35">
        <v>66</v>
      </c>
      <c r="E35" t="s">
        <v>123</v>
      </c>
      <c r="F35">
        <v>0</v>
      </c>
      <c r="G35" s="21">
        <v>0</v>
      </c>
      <c r="H35" s="21">
        <v>0</v>
      </c>
      <c r="I35" s="21">
        <v>1</v>
      </c>
      <c r="J35" s="21">
        <v>0</v>
      </c>
      <c r="K35">
        <v>0</v>
      </c>
      <c r="L35" s="21">
        <v>0</v>
      </c>
      <c r="M35" s="21">
        <v>0</v>
      </c>
      <c r="N35" s="21">
        <v>0</v>
      </c>
      <c r="O35" s="21">
        <v>0</v>
      </c>
      <c r="P35" s="21">
        <v>0</v>
      </c>
      <c r="Q35" s="21">
        <v>0</v>
      </c>
      <c r="R35" s="21">
        <v>0</v>
      </c>
      <c r="S35">
        <v>0</v>
      </c>
      <c r="T35">
        <v>0</v>
      </c>
      <c r="U35">
        <v>0</v>
      </c>
      <c r="V35">
        <v>0</v>
      </c>
      <c r="W35">
        <v>0</v>
      </c>
      <c r="X35">
        <v>0</v>
      </c>
      <c r="Y35">
        <v>0</v>
      </c>
      <c r="Z35">
        <v>0</v>
      </c>
      <c r="AA35">
        <v>0</v>
      </c>
      <c r="AB35">
        <v>0</v>
      </c>
      <c r="AC35">
        <v>0</v>
      </c>
      <c r="AD35" t="str">
        <f>LEFT(A35,18)</f>
        <v>VectorizedElementw</v>
      </c>
      <c r="AE35" s="32">
        <f>0+SUBSTITUTE(B35,"ms","")/1000</f>
        <v>9.9000000000000008e-05</v>
      </c>
      <c r="AH35">
        <f>1-AF35-AG35</f>
        <v>1</v>
      </c>
      <c r="AI35" s="32">
        <f>AF35*$AE35</f>
        <v>0</v>
      </c>
      <c r="AJ35" s="32">
        <f>AG35*$AE35</f>
        <v>0</v>
      </c>
      <c r="AK35" s="32">
        <f>AH35*$AE35</f>
        <v>9.9000000000000008e-05</v>
      </c>
    </row>
    <row r="36" ht="14.25">
      <c r="A36" t="s">
        <v>191</v>
      </c>
      <c r="B36" s="16" t="s">
        <v>280</v>
      </c>
      <c r="C36" t="s">
        <v>281</v>
      </c>
      <c r="D36">
        <v>198</v>
      </c>
      <c r="E36" t="s">
        <v>123</v>
      </c>
      <c r="F36">
        <v>0</v>
      </c>
      <c r="G36" s="21">
        <v>0</v>
      </c>
      <c r="H36" s="21">
        <v>0</v>
      </c>
      <c r="I36" s="21">
        <v>1</v>
      </c>
      <c r="J36" s="21">
        <v>0</v>
      </c>
      <c r="K36">
        <v>0</v>
      </c>
      <c r="L36" s="21">
        <v>0</v>
      </c>
      <c r="M36" s="21">
        <v>0</v>
      </c>
      <c r="N36" s="21">
        <v>0</v>
      </c>
      <c r="O36" s="21">
        <v>0</v>
      </c>
      <c r="P36" s="21">
        <v>0</v>
      </c>
      <c r="Q36" s="21">
        <v>0</v>
      </c>
      <c r="R36" s="21">
        <v>0</v>
      </c>
      <c r="S36">
        <v>0</v>
      </c>
      <c r="T36">
        <v>0</v>
      </c>
      <c r="U36">
        <v>0</v>
      </c>
      <c r="V36">
        <v>0</v>
      </c>
      <c r="W36">
        <v>0</v>
      </c>
      <c r="X36">
        <v>0</v>
      </c>
      <c r="Y36">
        <v>0</v>
      </c>
      <c r="Z36">
        <v>0</v>
      </c>
      <c r="AA36">
        <v>0</v>
      </c>
      <c r="AB36">
        <v>0</v>
      </c>
      <c r="AC36">
        <v>0</v>
      </c>
      <c r="AD36" t="str">
        <f>LEFT(A36,18)</f>
        <v>VectorizedElementw</v>
      </c>
      <c r="AE36" s="32">
        <f>0+SUBSTITUTE(B36,"ms","")/1000</f>
        <v>0.000195</v>
      </c>
      <c r="AH36">
        <f>1-AF36-AG36</f>
        <v>1</v>
      </c>
      <c r="AI36" s="32">
        <f>AF36*$AE36</f>
        <v>0</v>
      </c>
      <c r="AJ36" s="32">
        <f>AG36*$AE36</f>
        <v>0</v>
      </c>
      <c r="AK36" s="32">
        <f>AH36*$AE36</f>
        <v>0.000195</v>
      </c>
    </row>
    <row r="37" ht="14.25">
      <c r="A37" t="s">
        <v>192</v>
      </c>
      <c r="B37" s="16" t="s">
        <v>282</v>
      </c>
      <c r="C37" t="s">
        <v>283</v>
      </c>
      <c r="D37">
        <v>526</v>
      </c>
      <c r="E37" t="s">
        <v>123</v>
      </c>
      <c r="F37">
        <v>0</v>
      </c>
      <c r="G37" s="21">
        <v>0</v>
      </c>
      <c r="H37" s="21">
        <v>0</v>
      </c>
      <c r="I37" s="21">
        <v>1</v>
      </c>
      <c r="J37" s="21">
        <v>0</v>
      </c>
      <c r="K37">
        <v>0</v>
      </c>
      <c r="L37" s="21">
        <v>0</v>
      </c>
      <c r="M37" s="21">
        <v>0</v>
      </c>
      <c r="N37" s="21">
        <v>0</v>
      </c>
      <c r="O37" s="21">
        <v>0</v>
      </c>
      <c r="P37" s="21">
        <v>0</v>
      </c>
      <c r="Q37" s="21">
        <v>0</v>
      </c>
      <c r="R37" s="21">
        <v>0</v>
      </c>
      <c r="S37">
        <v>0</v>
      </c>
      <c r="T37">
        <v>0</v>
      </c>
      <c r="U37">
        <v>0</v>
      </c>
      <c r="V37">
        <v>0</v>
      </c>
      <c r="W37">
        <v>0</v>
      </c>
      <c r="X37">
        <v>0</v>
      </c>
      <c r="Y37">
        <v>0</v>
      </c>
      <c r="Z37">
        <v>0</v>
      </c>
      <c r="AA37">
        <v>0</v>
      </c>
      <c r="AB37">
        <v>0</v>
      </c>
      <c r="AC37">
        <v>0</v>
      </c>
      <c r="AD37" t="str">
        <f>LEFT(A37,18)</f>
        <v>VectorizedElementw</v>
      </c>
      <c r="AE37" s="32">
        <f>0+SUBSTITUTE(B37,"ms","")/1000</f>
        <v>0.00068000000000000005</v>
      </c>
      <c r="AH37">
        <f>1-AF37-AG37</f>
        <v>1</v>
      </c>
      <c r="AI37" s="32">
        <f>AF37*$AE37</f>
        <v>0</v>
      </c>
      <c r="AJ37" s="32">
        <f>AG37*$AE37</f>
        <v>0</v>
      </c>
      <c r="AK37" s="32">
        <f>AH37*$AE37</f>
        <v>0.00068000000000000005</v>
      </c>
    </row>
    <row r="38" ht="14.25">
      <c r="A38" t="s">
        <v>194</v>
      </c>
      <c r="B38" s="16" t="s">
        <v>284</v>
      </c>
      <c r="C38" t="s">
        <v>285</v>
      </c>
      <c r="D38" s="20">
        <v>2225</v>
      </c>
      <c r="E38" t="s">
        <v>197</v>
      </c>
      <c r="F38" s="28">
        <v>4752.3100000000004</v>
      </c>
      <c r="G38" s="21">
        <v>0</v>
      </c>
      <c r="H38" s="19">
        <v>0</v>
      </c>
      <c r="I38" s="19">
        <v>1</v>
      </c>
      <c r="J38" s="21">
        <v>0</v>
      </c>
      <c r="K38">
        <v>32</v>
      </c>
      <c r="L38" s="21">
        <v>0</v>
      </c>
      <c r="M38" s="21">
        <v>0</v>
      </c>
      <c r="N38" s="21">
        <v>0</v>
      </c>
      <c r="O38" s="21">
        <v>0</v>
      </c>
      <c r="P38" s="21">
        <v>0</v>
      </c>
      <c r="Q38" s="21">
        <v>0</v>
      </c>
      <c r="R38" s="21">
        <v>0</v>
      </c>
      <c r="S38" s="20">
        <v>96</v>
      </c>
      <c r="T38" s="20">
        <v>16</v>
      </c>
      <c r="U38" s="20">
        <v>0</v>
      </c>
      <c r="V38" s="20">
        <v>608</v>
      </c>
      <c r="W38">
        <v>0</v>
      </c>
      <c r="X38">
        <v>19.382999999999999</v>
      </c>
      <c r="Y38">
        <v>19.058</v>
      </c>
      <c r="Z38">
        <v>17.393999999999998</v>
      </c>
      <c r="AA38">
        <v>18.977</v>
      </c>
      <c r="AB38">
        <v>0</v>
      </c>
      <c r="AC38">
        <v>0</v>
      </c>
      <c r="AD38" t="str">
        <f>LEFT(A38,18)</f>
        <v>zeCommandListAppen</v>
      </c>
      <c r="AE38" s="32">
        <f>0+SUBSTITUTE(B38,"ms","")/1000</f>
        <v>0.0099049999999999989</v>
      </c>
      <c r="AH38">
        <f>1-AF38-AG38</f>
        <v>1</v>
      </c>
      <c r="AI38" s="32">
        <f>AF38*$AE38</f>
        <v>0</v>
      </c>
      <c r="AJ38" s="32">
        <f>AG38*$AE38</f>
        <v>0</v>
      </c>
      <c r="AK38" s="32">
        <f>AH38*$AE38</f>
        <v>0.0099049999999999989</v>
      </c>
    </row>
    <row r="39" ht="14.25">
      <c r="B39" s="16"/>
      <c r="AD39" t="str">
        <f>LEFT(A39,18)</f>
        <v/>
      </c>
      <c r="AE39" s="34">
        <f>SUM(AE2:AE38)</f>
        <v>0.045130000000000003</v>
      </c>
      <c r="AF39" s="30"/>
      <c r="AG39" s="30"/>
      <c r="AH39" s="30"/>
      <c r="AI39" s="11">
        <f>SUM(AI2:AI38)</f>
        <v>3.0000000000000001e-06</v>
      </c>
      <c r="AJ39" s="11">
        <f>SUM(AJ2:AJ38)</f>
        <v>0.0028060000000000003</v>
      </c>
      <c r="AK39" s="11">
        <f>SUM(AK2:AK38)</f>
        <v>0.042320999999999998</v>
      </c>
    </row>
    <row r="40" ht="14.25">
      <c r="B40" s="16"/>
      <c r="AD40" t="str">
        <f>LEFT(A40,18)</f>
        <v/>
      </c>
      <c r="AI40" s="25">
        <f>AI39/$AE$39</f>
        <v>6.6474628849988915e-05</v>
      </c>
      <c r="AJ40" s="25">
        <f>AJ39/$AE$39</f>
        <v>0.062175936184356309</v>
      </c>
      <c r="AK40" s="25">
        <f>AK39/$AE$39</f>
        <v>0.93775758918679353</v>
      </c>
    </row>
    <row r="41" ht="14.25">
      <c r="AD41" s="4"/>
      <c r="AI41" s="31" t="s">
        <v>286</v>
      </c>
      <c r="AJ41" s="35"/>
      <c r="AK41" t="s">
        <v>287</v>
      </c>
    </row>
    <row r="42" ht="14.25"/>
    <row r="43" ht="14.25"/>
    <row r="44" ht="14.25"/>
    <row r="45" ht="14.25"/>
    <row r="46" ht="14.25"/>
    <row r="47" ht="14.25"/>
    <row r="48" ht="14.25"/>
    <row r="49" ht="14.25"/>
    <row r="50" ht="14.25"/>
    <row r="51" ht="14.25"/>
    <row r="52" ht="14.25"/>
    <row r="53" ht="14.25"/>
    <row r="54" ht="14.25"/>
    <row r="55" ht="14.25"/>
    <row r="56" ht="14.25"/>
    <row r="57" ht="14.25"/>
    <row r="58" ht="14.25"/>
    <row r="59" ht="14.25"/>
    <row r="60" ht="14.25"/>
    <row r="61" ht="14.25"/>
    <row r="62" ht="14.25"/>
    <row r="63" ht="14.25"/>
    <row r="64" ht="14.25"/>
    <row r="65" ht="14.25"/>
    <row r="66" ht="14.25"/>
    <row r="67" ht="14.25"/>
    <row r="68" ht="14.25"/>
    <row r="69" ht="14.25"/>
    <row r="70" ht="14.25"/>
    <row r="71" ht="14.25"/>
    <row r="72" ht="14.25"/>
    <row r="73" ht="14.25"/>
    <row r="74" ht="14.25"/>
    <row r="75" ht="14.25"/>
    <row r="76" ht="14.25"/>
    <row r="77" ht="14.25"/>
  </sheetData>
  <mergeCells count="1">
    <mergeCell ref="AI41:AJ41"/>
  </mergeCells>
  <conditionalFormatting sqref="AE2:AE38">
    <cfRule type="colorScale" priority="1">
      <colorScale>
        <cfvo type="min" val="&quot;&quot;"/>
        <cfvo type="max" val="&quot;&quot;"/>
        <color theme="9" tint="0.79998168889431442"/>
        <color rgb="FFFAD5D5"/>
      </colorScale>
    </cfRule>
  </conditionalFormatting>
  <conditionalFormatting sqref="AI2 AI3 AI4 AI5 AI6 AI7 AI8 AI9 AI10 AI11 AI12 AI13 AI14 AI15 AI16 AI17 AI18 AI19 AI20 AI21 AI22 AI23 AI24 AI25 AI26 AI27 AI28 AI29 AI30 AI31 AI32 AI33 AI34 AI35 AI36 AI37 AI38">
    <cfRule type="colorScale" priority="1">
      <colorScale>
        <cfvo type="min" val="&quot;&quot;"/>
        <cfvo type="max" val="&quot;&quot;"/>
        <color theme="9" tint="0.79998168889431442"/>
        <color rgb="FFFAD5D5"/>
      </colorScale>
    </cfRule>
  </conditionalFormatting>
  <conditionalFormatting sqref="AJ2 AJ3 AJ4 AJ5 AJ6 AJ7 AJ8 AJ9 AJ10 AJ11 AJ12 AJ13 AJ14 AJ15 AJ16 AJ17 AJ18 AJ19 AJ20 AJ21 AJ22 AJ23 AJ24 AJ25 AJ26 AJ27 AJ28 AJ29 AJ30 AJ31 AJ32 AJ33 AJ34 AJ35 AJ36 AJ37 AJ38">
    <cfRule type="colorScale" priority="1">
      <colorScale>
        <cfvo type="min" val="&quot;&quot;"/>
        <cfvo type="max" val="&quot;&quot;"/>
        <color theme="9" tint="0.79998168889431442"/>
        <color rgb="FFFAD5D5"/>
      </colorScale>
    </cfRule>
  </conditionalFormatting>
  <conditionalFormatting sqref="AK2 AK3 AK4 AK5 AK6 AK7 AK8 AK9 AK10 AK11 AK12 AK13 AK14 AK15 AK16 AK17 AK18 AK19 AK20 AK21 AK22 AK23 AK24 AK25 AK26 AK27 AK28 AK29 AK30 AK31 AK32 AK33 AK34 AK35 AK36 AK37 AK38">
    <cfRule type="colorScale" priority="1">
      <colorScale>
        <cfvo type="min" val="&quot;&quot;"/>
        <cfvo type="max" val="&quot;&quot;"/>
        <color theme="9" tint="0.79998168889431442"/>
        <color rgb="FFFAD5D5"/>
      </colorScale>
    </cfRule>
  </conditionalFormatting>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3"/>
  <legacy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sheetData>
    <row r="1">
      <c r="A1" t="s">
        <v>288</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cols>
    <col bestFit="1" min="1" max="1" width="23.57421875"/>
    <col bestFit="1" min="2" max="2" width="5.8515625"/>
    <col bestFit="1" customWidth="1" min="3" max="3" width="21.00390625"/>
    <col bestFit="1" min="4" max="4" width="35.140625"/>
    <col customWidth="1" min="5" max="5" width="30.00390625"/>
    <col bestFit="1" min="6" max="6" width="21.421875"/>
    <col bestFit="1" min="7" max="7" width="4.7109375"/>
    <col bestFit="1" min="8" max="8" width="5.28125"/>
    <col bestFit="1" min="9" max="9" width="5.57421875"/>
    <col bestFit="1" min="10" max="10" width="7.140625"/>
    <col bestFit="1" min="11" max="11" width="5.28125"/>
    <col bestFit="1" min="12" max="12" width="3.57421875"/>
    <col bestFit="1" min="16" max="16" width="10.8515625"/>
    <col customWidth="1" min="17" max="17" width="26.7109375"/>
  </cols>
  <sheetData>
    <row r="1">
      <c r="H1" t="s">
        <v>289</v>
      </c>
      <c r="I1" t="s">
        <v>290</v>
      </c>
      <c r="J1" t="s">
        <v>291</v>
      </c>
      <c r="K1" t="s">
        <v>292</v>
      </c>
    </row>
    <row r="2">
      <c r="A2" t="s">
        <v>293</v>
      </c>
      <c r="B2" t="s">
        <v>294</v>
      </c>
      <c r="C2" t="s">
        <v>295</v>
      </c>
      <c r="D2" t="s">
        <v>296</v>
      </c>
      <c r="E2" t="s">
        <v>297</v>
      </c>
      <c r="F2" t="s">
        <v>298</v>
      </c>
      <c r="G2" t="s">
        <v>299</v>
      </c>
      <c r="H2">
        <v>9.5999999999999996</v>
      </c>
      <c r="I2">
        <v>20.449999999999999</v>
      </c>
      <c r="J2">
        <v>21.02</v>
      </c>
      <c r="K2">
        <v>21.16</v>
      </c>
      <c r="L2" t="s">
        <v>300</v>
      </c>
      <c r="Q2" s="36" t="s">
        <v>301</v>
      </c>
    </row>
    <row r="3">
      <c r="A3" t="s">
        <v>302</v>
      </c>
      <c r="B3" t="s">
        <v>294</v>
      </c>
      <c r="C3" t="s">
        <v>295</v>
      </c>
      <c r="D3" t="s">
        <v>296</v>
      </c>
      <c r="E3" t="s">
        <v>297</v>
      </c>
      <c r="F3" t="s">
        <v>298</v>
      </c>
      <c r="G3" t="s">
        <v>299</v>
      </c>
      <c r="H3">
        <v>13.41</v>
      </c>
      <c r="I3">
        <v>20.149999999999999</v>
      </c>
      <c r="J3">
        <v>20.52</v>
      </c>
      <c r="K3">
        <v>20.75</v>
      </c>
      <c r="L3" t="s">
        <v>300</v>
      </c>
      <c r="Q3" s="36"/>
    </row>
    <row r="4">
      <c r="A4" t="s">
        <v>303</v>
      </c>
      <c r="B4" t="s">
        <v>294</v>
      </c>
      <c r="C4" t="s">
        <v>295</v>
      </c>
      <c r="D4" t="s">
        <v>296</v>
      </c>
      <c r="E4" t="s">
        <v>297</v>
      </c>
      <c r="F4" t="s">
        <v>298</v>
      </c>
      <c r="G4" t="s">
        <v>299</v>
      </c>
      <c r="H4">
        <v>13.720000000000001</v>
      </c>
      <c r="I4">
        <v>19.859999999999999</v>
      </c>
      <c r="J4">
        <v>19.350000000000001</v>
      </c>
      <c r="K4">
        <v>22.010000000000002</v>
      </c>
      <c r="L4" t="s">
        <v>300</v>
      </c>
      <c r="M4">
        <f>STDEV(H2:H4)/AVERAGE(H2:H4)*100</f>
        <v>18.740282852691443</v>
      </c>
      <c r="N4">
        <f>STDEV(I2:I4)/AVERAGE(I2:I4)*100</f>
        <v>1.4638477867466417</v>
      </c>
      <c r="O4">
        <f>STDEV(J2:J4)/AVERAGE(J2:J4)*100</f>
        <v>4.2228980405069967</v>
      </c>
      <c r="P4">
        <f>STDEV(K2:K4)/AVERAGE(K2:K4)*100</f>
        <v>3.0163174010526634</v>
      </c>
      <c r="Q4" s="36"/>
    </row>
    <row r="5">
      <c r="A5" t="s">
        <v>304</v>
      </c>
      <c r="B5" t="s">
        <v>294</v>
      </c>
      <c r="C5" t="s">
        <v>295</v>
      </c>
      <c r="D5" t="s">
        <v>296</v>
      </c>
      <c r="E5" t="s">
        <v>305</v>
      </c>
      <c r="F5" t="s">
        <v>298</v>
      </c>
      <c r="G5" t="s">
        <v>299</v>
      </c>
      <c r="H5">
        <v>4.9100000000000001</v>
      </c>
      <c r="I5">
        <v>6.7599999999999998</v>
      </c>
      <c r="J5">
        <v>6.7999999999999998</v>
      </c>
      <c r="K5">
        <v>6.8499999999999996</v>
      </c>
      <c r="L5" t="s">
        <v>300</v>
      </c>
      <c r="Q5" s="36"/>
    </row>
    <row r="6">
      <c r="A6" t="s">
        <v>306</v>
      </c>
      <c r="B6" t="s">
        <v>294</v>
      </c>
      <c r="C6" t="s">
        <v>295</v>
      </c>
      <c r="D6" t="s">
        <v>296</v>
      </c>
      <c r="E6" t="s">
        <v>305</v>
      </c>
      <c r="F6" t="s">
        <v>298</v>
      </c>
      <c r="G6" t="s">
        <v>299</v>
      </c>
      <c r="H6">
        <v>5.2199999999999998</v>
      </c>
      <c r="I6">
        <v>6.7800000000000002</v>
      </c>
      <c r="J6">
        <v>6.8200000000000003</v>
      </c>
      <c r="K6">
        <v>6.8600000000000003</v>
      </c>
      <c r="L6" t="s">
        <v>300</v>
      </c>
      <c r="Q6" s="36"/>
    </row>
    <row r="7">
      <c r="A7" t="s">
        <v>307</v>
      </c>
      <c r="B7" t="s">
        <v>294</v>
      </c>
      <c r="C7" t="s">
        <v>295</v>
      </c>
      <c r="D7" t="s">
        <v>296</v>
      </c>
      <c r="E7" t="s">
        <v>305</v>
      </c>
      <c r="F7" t="s">
        <v>298</v>
      </c>
      <c r="G7" t="s">
        <v>299</v>
      </c>
      <c r="H7">
        <v>5.2000000000000002</v>
      </c>
      <c r="I7">
        <v>6.7699999999999996</v>
      </c>
      <c r="J7">
        <v>6.8099999999999996</v>
      </c>
      <c r="K7">
        <v>6.8600000000000003</v>
      </c>
      <c r="L7" t="s">
        <v>300</v>
      </c>
      <c r="M7" s="4">
        <f>STDEV(H5:H7)/AVERAGE(H5:H7)*100</f>
        <v>3.3951764330523408</v>
      </c>
      <c r="N7" s="4">
        <f>STDEV(I5:I7)/AVERAGE(I5:I7)*100</f>
        <v>0.14771048744461199</v>
      </c>
      <c r="O7" s="4">
        <f>STDEV(J5:J7)/AVERAGE(J5:J7)*100</f>
        <v>0.14684287812041455</v>
      </c>
      <c r="P7" s="4">
        <f>STDEV(K5:K7)/AVERAGE(K5:K7)*100</f>
        <v>0.084202761670831031</v>
      </c>
      <c r="Q7" s="36"/>
    </row>
    <row r="8">
      <c r="A8" t="s">
        <v>308</v>
      </c>
      <c r="B8" t="s">
        <v>294</v>
      </c>
      <c r="C8" t="s">
        <v>295</v>
      </c>
      <c r="D8" t="s">
        <v>296</v>
      </c>
      <c r="E8" t="s">
        <v>309</v>
      </c>
      <c r="F8" t="s">
        <v>298</v>
      </c>
      <c r="G8" t="s">
        <v>299</v>
      </c>
      <c r="H8">
        <v>6.3600000000000003</v>
      </c>
      <c r="I8">
        <v>9.1799999999999997</v>
      </c>
      <c r="J8">
        <v>9.2599999999999998</v>
      </c>
      <c r="K8">
        <v>9.3300000000000001</v>
      </c>
      <c r="L8" t="s">
        <v>300</v>
      </c>
      <c r="Q8" s="36"/>
    </row>
    <row r="9">
      <c r="A9" t="s">
        <v>310</v>
      </c>
      <c r="B9" t="s">
        <v>294</v>
      </c>
      <c r="C9" t="s">
        <v>295</v>
      </c>
      <c r="D9" t="s">
        <v>296</v>
      </c>
      <c r="E9" t="s">
        <v>309</v>
      </c>
      <c r="F9" t="s">
        <v>298</v>
      </c>
      <c r="G9" t="s">
        <v>299</v>
      </c>
      <c r="H9">
        <v>6.3799999999999999</v>
      </c>
      <c r="I9">
        <v>9.1699999999999999</v>
      </c>
      <c r="J9">
        <v>9.2300000000000004</v>
      </c>
      <c r="K9">
        <v>9.3399999999999999</v>
      </c>
      <c r="L9" t="s">
        <v>300</v>
      </c>
      <c r="Q9" s="36"/>
    </row>
    <row r="10">
      <c r="A10" t="s">
        <v>311</v>
      </c>
      <c r="B10" t="s">
        <v>294</v>
      </c>
      <c r="C10" t="s">
        <v>295</v>
      </c>
      <c r="D10" t="s">
        <v>296</v>
      </c>
      <c r="E10" t="s">
        <v>309</v>
      </c>
      <c r="F10" t="s">
        <v>298</v>
      </c>
      <c r="G10" t="s">
        <v>299</v>
      </c>
      <c r="H10">
        <v>6.1699999999999999</v>
      </c>
      <c r="I10">
        <v>9.1899999999999995</v>
      </c>
      <c r="J10">
        <v>9.2799999999999994</v>
      </c>
      <c r="K10">
        <v>9.3399999999999999</v>
      </c>
      <c r="L10" t="s">
        <v>300</v>
      </c>
      <c r="M10" s="4">
        <f>STDEV(H8:H10)/AVERAGE(H8:H10)*100</f>
        <v>1.8387454945228685</v>
      </c>
      <c r="N10" s="4">
        <f>STDEV(I8:I10)/AVERAGE(I8:I10)*100</f>
        <v>0.10893246187363603</v>
      </c>
      <c r="O10" s="4">
        <f>STDEV(J8:J10)/AVERAGE(J8:J10)*100</f>
        <v>0.27187016331546948</v>
      </c>
      <c r="P10" s="4">
        <f>STDEV(K8:K10)/AVERAGE(K8:K10)*100</f>
        <v>0.061836872815738672</v>
      </c>
      <c r="Q10" s="36"/>
    </row>
    <row r="11">
      <c r="M11">
        <f>MAX(M4:M10)</f>
        <v>18.740282852691443</v>
      </c>
      <c r="N11">
        <f>MAX(N4:N10)</f>
        <v>1.4638477867466417</v>
      </c>
      <c r="O11">
        <f>MAX(O4:O10)</f>
        <v>4.2228980405069967</v>
      </c>
      <c r="P11">
        <f>MAX(P4:P10)</f>
        <v>3.0163174010526634</v>
      </c>
      <c r="Q11" t="s">
        <v>292</v>
      </c>
    </row>
    <row r="12">
      <c r="M12" s="4">
        <f>AVERAGE(M5:M11)</f>
        <v>7.9914015934222178</v>
      </c>
      <c r="N12" s="4">
        <f>AVERAGE(N5:N11)</f>
        <v>0.57349691202162989</v>
      </c>
      <c r="O12" s="4">
        <f>AVERAGE(O5:O11)</f>
        <v>1.5472036939809604</v>
      </c>
      <c r="P12" s="4">
        <f>AVERAGE(P5:P11)</f>
        <v>1.054119011846411</v>
      </c>
      <c r="Q12" t="s">
        <v>312</v>
      </c>
    </row>
    <row r="14">
      <c r="M14" t="s">
        <v>313</v>
      </c>
    </row>
  </sheetData>
  <sortState ref="A2:L11" columnSort="0">
    <sortCondition sortBy="value" descending="0" ref="E2:E11"/>
  </sortState>
  <mergeCells count="1">
    <mergeCell ref="Q2:Q10"/>
  </mergeCell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customWidth="1" min="1" max="1" width="13.28125"/>
    <col customWidth="1" min="2" max="4" width="12.140625"/>
  </cols>
  <sheetData>
    <row r="1" ht="14.25">
      <c r="B1" t="s">
        <v>0</v>
      </c>
      <c r="C1" t="s">
        <v>1</v>
      </c>
      <c r="D1" t="s">
        <v>2</v>
      </c>
    </row>
    <row r="2" ht="14.25">
      <c r="A2" t="s">
        <v>42</v>
      </c>
      <c r="B2">
        <v>7.4500000000000002</v>
      </c>
      <c r="C2">
        <v>10.01</v>
      </c>
      <c r="D2">
        <v>27.27</v>
      </c>
    </row>
    <row r="3" ht="14.25">
      <c r="A3" t="s">
        <v>43</v>
      </c>
      <c r="B3">
        <v>6.4199999999999999</v>
      </c>
      <c r="C3">
        <v>14.91</v>
      </c>
      <c r="D3">
        <v>33.369999999999997</v>
      </c>
    </row>
    <row r="4" ht="14.25">
      <c r="A4" t="s">
        <v>314</v>
      </c>
      <c r="B4">
        <v>11.9</v>
      </c>
      <c r="C4">
        <v>10.27</v>
      </c>
      <c r="D4">
        <v>20.829999999999998</v>
      </c>
    </row>
    <row r="7" ht="14.25">
      <c r="A7" t="s">
        <v>41</v>
      </c>
    </row>
  </sheetData>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drawing r:id="rId3"/>
  <legacyDrawing r:id="rId4"/>
</worksheet>
</file>

<file path=docProps/app.xml><?xml version="1.0" encoding="utf-8"?>
<Properties xmlns="http://schemas.openxmlformats.org/officeDocument/2006/extended-properties" xmlns:vt="http://schemas.openxmlformats.org/officeDocument/2006/docPropsVTypes">
  <Application>ONLYOFFICE/8.3.2.19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6</cp:revision>
  <dcterms:modified xsi:type="dcterms:W3CDTF">2025-04-03T14:19:01Z</dcterms:modified>
</cp:coreProperties>
</file>